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na/Anna/Karriere/PhD/Scotti Lab/1_WP/Github/network_stability_heatwaves_m_a/dataframes/"/>
    </mc:Choice>
  </mc:AlternateContent>
  <xr:revisionPtr revIDLastSave="0" documentId="13_ncr:1_{89F4244E-E967-6147-824A-8EAEBCC02D85}" xr6:coauthVersionLast="47" xr6:coauthVersionMax="47" xr10:uidLastSave="{00000000-0000-0000-0000-000000000000}"/>
  <bookViews>
    <workbookView xWindow="0" yWindow="760" windowWidth="30240" windowHeight="17720" activeTab="1" xr2:uid="{00000000-000D-0000-FFFF-FFFF00000000}"/>
  </bookViews>
  <sheets>
    <sheet name="a_b_estimates" sheetId="3" r:id="rId1"/>
    <sheet name="B_PB_alpha" sheetId="2" r:id="rId2"/>
    <sheet name="respiration" sheetId="4" r:id="rId3"/>
    <sheet name="mortality" sheetId="5" r:id="rId4"/>
    <sheet name="edgelist" sheetId="7" r:id="rId5"/>
    <sheet name="SIA" sheetId="6" r:id="rId6"/>
    <sheet name="Q10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5" l="1"/>
  <c r="D30" i="5"/>
  <c r="D29" i="5"/>
  <c r="D10" i="5"/>
  <c r="D9" i="5"/>
  <c r="D7" i="5"/>
  <c r="D6" i="5"/>
  <c r="D5" i="5"/>
  <c r="D4" i="5"/>
  <c r="D3" i="5"/>
  <c r="D2" i="5"/>
  <c r="D8" i="5"/>
  <c r="E5" i="2"/>
  <c r="E2" i="2"/>
</calcChain>
</file>

<file path=xl/sharedStrings.xml><?xml version="1.0" encoding="utf-8"?>
<sst xmlns="http://schemas.openxmlformats.org/spreadsheetml/2006/main" count="1576" uniqueCount="141">
  <si>
    <t xml:space="preserve">species </t>
  </si>
  <si>
    <t>taxa</t>
  </si>
  <si>
    <t>Idotea balthica</t>
  </si>
  <si>
    <t>Littorina littorea</t>
  </si>
  <si>
    <t>Ref</t>
  </si>
  <si>
    <t>treatment</t>
  </si>
  <si>
    <t>0HW</t>
  </si>
  <si>
    <t>1HW</t>
  </si>
  <si>
    <t>3HW</t>
  </si>
  <si>
    <t>AE_Ref</t>
  </si>
  <si>
    <t>PB</t>
  </si>
  <si>
    <t>a</t>
  </si>
  <si>
    <t>b</t>
  </si>
  <si>
    <t>P_o</t>
  </si>
  <si>
    <t>RB</t>
  </si>
  <si>
    <t>species</t>
  </si>
  <si>
    <t>tank</t>
  </si>
  <si>
    <t>Gammarus salinus</t>
  </si>
  <si>
    <t>A1</t>
  </si>
  <si>
    <t>A2</t>
  </si>
  <si>
    <t>B1</t>
  </si>
  <si>
    <t>B2</t>
  </si>
  <si>
    <t>C1</t>
  </si>
  <si>
    <t>C2</t>
  </si>
  <si>
    <t>E1</t>
  </si>
  <si>
    <t>F1</t>
  </si>
  <si>
    <t>F2</t>
  </si>
  <si>
    <t>Gammarus locusta</t>
  </si>
  <si>
    <t>D1</t>
  </si>
  <si>
    <t>D2</t>
  </si>
  <si>
    <t>E2</t>
  </si>
  <si>
    <t>P_d</t>
  </si>
  <si>
    <t xml:space="preserve">Nereis diversicolor </t>
  </si>
  <si>
    <t xml:space="preserve">Pygospio elegans </t>
  </si>
  <si>
    <t>B_f</t>
  </si>
  <si>
    <t>A_d</t>
  </si>
  <si>
    <t>m</t>
  </si>
  <si>
    <t>FA</t>
  </si>
  <si>
    <t>filamentous algae</t>
  </si>
  <si>
    <t>ZM</t>
  </si>
  <si>
    <t>Zostera marina</t>
  </si>
  <si>
    <t>FV</t>
  </si>
  <si>
    <t>Fucus vesiculosus</t>
  </si>
  <si>
    <t>I_d</t>
  </si>
  <si>
    <t xml:space="preserve">Mytilus edulis </t>
  </si>
  <si>
    <t>Grahame et al. 1973</t>
  </si>
  <si>
    <r>
      <rPr>
        <i/>
        <sz val="12"/>
        <color theme="1"/>
        <rFont val="Calibri"/>
        <family val="2"/>
      </rPr>
      <t>Gammarus</t>
    </r>
    <r>
      <rPr>
        <sz val="12"/>
        <color theme="1"/>
        <rFont val="Calibri"/>
        <family val="2"/>
      </rPr>
      <t xml:space="preserve"> sp.</t>
    </r>
  </si>
  <si>
    <t>m_Ref</t>
  </si>
  <si>
    <t>Jaera albifrons</t>
  </si>
  <si>
    <t>I_o</t>
  </si>
  <si>
    <t>A_o</t>
  </si>
  <si>
    <t>G_h</t>
  </si>
  <si>
    <t>Macoma balthica</t>
  </si>
  <si>
    <t>Mya truncata</t>
  </si>
  <si>
    <t>Polydora cornuta</t>
  </si>
  <si>
    <t>PB_Ref</t>
  </si>
  <si>
    <t>Redant 1989; Baden &amp; Phil 1984</t>
  </si>
  <si>
    <t>1-EB/CB: Baird et al. 2004</t>
  </si>
  <si>
    <t>c_fract</t>
  </si>
  <si>
    <t>c_fract_Ref</t>
  </si>
  <si>
    <t>RB_ref</t>
  </si>
  <si>
    <t>Corophium volutator</t>
  </si>
  <si>
    <t>Hydrobia ulvae</t>
  </si>
  <si>
    <t>Marenzelleria viridis</t>
  </si>
  <si>
    <r>
      <t>Microdeutopus</t>
    </r>
    <r>
      <rPr>
        <sz val="12"/>
        <color rgb="FF000000"/>
        <rFont val="Calibri"/>
        <family val="2"/>
      </rPr>
      <t xml:space="preserve"> sp.</t>
    </r>
  </si>
  <si>
    <t>Mytilus edulis</t>
  </si>
  <si>
    <t>Nereis diversicolor</t>
  </si>
  <si>
    <t>Widdows &amp; Bayne 1971; Fig. 5</t>
  </si>
  <si>
    <t>Nielsen &amp; Kofoed 1982; Tab. 2</t>
  </si>
  <si>
    <t>Neuhoff 1979</t>
  </si>
  <si>
    <r>
      <rPr>
        <i/>
        <sz val="12"/>
        <color rgb="FF000000"/>
        <rFont val="Calibri"/>
        <family val="2"/>
      </rPr>
      <t>Microdeutopus</t>
    </r>
    <r>
      <rPr>
        <sz val="12"/>
        <color rgb="FF000000"/>
        <rFont val="Calibri"/>
        <family val="2"/>
      </rPr>
      <t xml:space="preserve"> sp.</t>
    </r>
  </si>
  <si>
    <t>Rumohr et al. 1987; Salonen et al. 1976</t>
  </si>
  <si>
    <t>Baird et al. 2004</t>
  </si>
  <si>
    <t>Zettler 1997</t>
  </si>
  <si>
    <r>
      <t>Idotea balthica</t>
    </r>
    <r>
      <rPr>
        <sz val="12"/>
        <color theme="1"/>
        <rFont val="Calibri"/>
        <family val="2"/>
      </rPr>
      <t>: Ito et al. 2019</t>
    </r>
  </si>
  <si>
    <t>Neuparth et al. 2002</t>
  </si>
  <si>
    <t>Huxham et al. 1993</t>
  </si>
  <si>
    <t>Tuomi et al. 1988; Tab. 1</t>
  </si>
  <si>
    <t>Solignac 1976; Fig. 1</t>
  </si>
  <si>
    <t>Hedberg et al. 2021</t>
  </si>
  <si>
    <t>Hiebenthal et al. 2012;  Fig. 3</t>
  </si>
  <si>
    <t>POC</t>
  </si>
  <si>
    <t>particulate organic carbon</t>
  </si>
  <si>
    <t>G_d</t>
  </si>
  <si>
    <r>
      <t xml:space="preserve">Marenzelleria </t>
    </r>
    <r>
      <rPr>
        <sz val="12"/>
        <color theme="1"/>
        <rFont val="Calibri"/>
        <family val="2"/>
      </rPr>
      <t>sp.</t>
    </r>
  </si>
  <si>
    <r>
      <t>µg/mm log</t>
    </r>
    <r>
      <rPr>
        <vertAlign val="subscript"/>
        <sz val="12"/>
        <color theme="1"/>
        <rFont val="Calibri"/>
        <family val="2"/>
      </rPr>
      <t>e</t>
    </r>
    <r>
      <rPr>
        <sz val="12"/>
        <color theme="1"/>
        <rFont val="Calibri"/>
        <family val="2"/>
      </rPr>
      <t>: Rumohr et al. 1987; Anger 1979</t>
    </r>
  </si>
  <si>
    <t>Rumohr et al. 1987; Ankar unpublished data</t>
  </si>
  <si>
    <t>SFDW: Rumohr et al. 1987; Kangas unpublished data</t>
  </si>
  <si>
    <t>resource</t>
  </si>
  <si>
    <t>predator</t>
  </si>
  <si>
    <t>treat</t>
  </si>
  <si>
    <t>SIA</t>
  </si>
  <si>
    <t>consumer</t>
  </si>
  <si>
    <t>Q10</t>
  </si>
  <si>
    <t>Q10_Ref</t>
  </si>
  <si>
    <t>Lehtonen, 2004</t>
  </si>
  <si>
    <t>reference</t>
  </si>
  <si>
    <r>
      <rPr>
        <i/>
        <sz val="12"/>
        <color theme="1"/>
        <rFont val="Calibri"/>
        <family val="2"/>
      </rPr>
      <t>Microdeutopus gryllotalpa</t>
    </r>
    <r>
      <rPr>
        <sz val="12"/>
        <color theme="1"/>
        <rFont val="Calibri"/>
        <family val="2"/>
      </rPr>
      <t>: Köhn &amp; Gosselck, 1989; DeWitt &amp; Levinton, 1985</t>
    </r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</si>
  <si>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Redant 1989; Baden &amp; Phil 1984</t>
    </r>
  </si>
  <si>
    <r>
      <rPr>
        <i/>
        <sz val="12"/>
        <color theme="1"/>
        <rFont val="Calibri"/>
        <family val="2"/>
      </rPr>
      <t>Pectinaria sp.</t>
    </r>
    <r>
      <rPr>
        <sz val="12"/>
        <color theme="1"/>
        <rFont val="Calibri"/>
        <family val="2"/>
      </rPr>
      <t>: Rumohr et al. 1987; Salonen et al. 1976</t>
    </r>
  </si>
  <si>
    <r>
      <rPr>
        <i/>
        <sz val="12"/>
        <color theme="1"/>
        <rFont val="Calibri"/>
        <family val="2"/>
      </rPr>
      <t>Pygospio elegans</t>
    </r>
    <r>
      <rPr>
        <sz val="12"/>
        <color theme="1"/>
        <rFont val="Calibri"/>
        <family val="2"/>
      </rPr>
      <t>: Baird et al. 2004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</si>
  <si>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Rumohr et al. 1987; Salonen et al. 1976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</si>
  <si>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Baird et al. 2004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</si>
  <si>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Nielsen &amp; Kofoed 1982; Tab. 2</t>
    </r>
  </si>
  <si>
    <r>
      <rPr>
        <i/>
        <sz val="12"/>
        <color theme="1"/>
        <rFont val="Calibri"/>
        <family val="2"/>
      </rPr>
      <t>Mya arenaria</t>
    </r>
    <r>
      <rPr>
        <sz val="12"/>
        <color theme="1"/>
        <rFont val="Calibri"/>
        <family val="2"/>
      </rPr>
      <t>: Baird et al. 2004</t>
    </r>
  </si>
  <si>
    <r>
      <rPr>
        <i/>
        <sz val="12"/>
        <color theme="1"/>
        <rFont val="Calibri"/>
        <family val="2"/>
      </rPr>
      <t>Mya arenaria</t>
    </r>
    <r>
      <rPr>
        <sz val="12"/>
        <color theme="1"/>
        <rFont val="Calibri"/>
        <family val="2"/>
      </rPr>
      <t>: 1-EB/CB: Baird et al. 2004</t>
    </r>
  </si>
  <si>
    <t>Salomon and Buchholz 2000</t>
  </si>
  <si>
    <t>de la Vega et al. 2018; Newell and Pye 1971</t>
  </si>
  <si>
    <t>de la Vega et al. 2018; Asmus, 1984</t>
  </si>
  <si>
    <t>de la Vega et al. 2018; Kristensen. 1983</t>
  </si>
  <si>
    <r>
      <rPr>
        <i/>
        <sz val="12"/>
        <color theme="1"/>
        <rFont val="Calibri"/>
        <family val="2"/>
      </rPr>
      <t>Gammarus oceanicum</t>
    </r>
    <r>
      <rPr>
        <sz val="12"/>
        <color theme="1"/>
        <rFont val="Calibri"/>
        <family val="2"/>
      </rPr>
      <t>: de la Vega et al. 2018; Halcrow and Boyd 1967</t>
    </r>
  </si>
  <si>
    <t>de la Vega et al. 2018; Read 1962;  Widdows 1973</t>
  </si>
  <si>
    <t>de la Vega et al. 2018; Asmus 1984</t>
  </si>
  <si>
    <t>Polychaeta: de la Vega et al. 2018; Timmermann et al. 2012</t>
  </si>
  <si>
    <r>
      <rPr>
        <i/>
        <sz val="12"/>
        <color theme="1"/>
        <rFont val="Calibri"/>
        <family val="2"/>
      </rPr>
      <t>Mya arenaria</t>
    </r>
    <r>
      <rPr>
        <sz val="12"/>
        <color theme="1"/>
        <rFont val="Calibri"/>
        <family val="2"/>
      </rPr>
      <t>: de la Vega et al. 2018; Kennedy and Mihursky 1972</t>
    </r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</si>
  <si>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Salomon and Buchholz 2000</t>
    </r>
  </si>
  <si>
    <r>
      <rPr>
        <i/>
        <sz val="12"/>
        <color theme="1"/>
        <rFont val="Calibri"/>
        <family val="2"/>
      </rPr>
      <t>Jaera albifrobs</t>
    </r>
    <r>
      <rPr>
        <sz val="12"/>
        <color theme="1"/>
        <rFont val="Calibri"/>
        <family val="2"/>
      </rPr>
      <t>: Jones 1972</t>
    </r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</si>
  <si>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Leidenberger et al. 2012</t>
    </r>
  </si>
  <si>
    <r>
      <rPr>
        <i/>
        <sz val="12"/>
        <color theme="1"/>
        <rFont val="Calibri"/>
        <family val="2"/>
      </rPr>
      <t>Littorina littorea</t>
    </r>
    <r>
      <rPr>
        <sz val="12"/>
        <color theme="1"/>
        <rFont val="Calibri"/>
        <family val="2"/>
      </rPr>
      <t>: Jagnow and Gosselck 1987</t>
    </r>
  </si>
  <si>
    <r>
      <rPr>
        <i/>
        <sz val="12"/>
        <color theme="1"/>
        <rFont val="Calibri"/>
        <family val="2"/>
      </rPr>
      <t xml:space="preserve">Mytilus edulis, Mya </t>
    </r>
    <r>
      <rPr>
        <sz val="12"/>
        <color theme="1"/>
        <rFont val="Calibri"/>
        <family val="2"/>
      </rPr>
      <t>sp.: Jagnow and Gosselck 1987; Winter 1969</t>
    </r>
  </si>
  <si>
    <r>
      <rPr>
        <i/>
        <sz val="12"/>
        <color theme="1"/>
        <rFont val="Calibri"/>
        <family val="2"/>
      </rPr>
      <t>Marenzelleria viridis; Polydora cornuta; Pygospio elegans</t>
    </r>
    <r>
      <rPr>
        <sz val="12"/>
        <color theme="1"/>
        <rFont val="Calibri"/>
        <family val="2"/>
      </rPr>
      <t>: Kotta and Ólafsson 2003; Takata et al. 2011; Brey 1991</t>
    </r>
  </si>
  <si>
    <r>
      <rPr>
        <i/>
        <sz val="12"/>
        <color theme="1"/>
        <rFont val="Calibri"/>
        <family val="2"/>
      </rPr>
      <t>Hediste diversicolor</t>
    </r>
    <r>
      <rPr>
        <sz val="12"/>
        <color theme="1"/>
        <rFont val="Calibri"/>
        <family val="2"/>
      </rPr>
      <t>: Bick and Gosselck 1985</t>
    </r>
  </si>
  <si>
    <t>alpha</t>
  </si>
  <si>
    <t>Baird et al. 2004; Q10 temp. rescaled</t>
  </si>
  <si>
    <t>Baird et al. 2004; Q10 temp. tescaled</t>
  </si>
  <si>
    <r>
      <rPr>
        <i/>
        <sz val="12"/>
        <color theme="1"/>
        <rFont val="Calibri"/>
        <family val="2"/>
      </rPr>
      <t>Pygospio elegans</t>
    </r>
    <r>
      <rPr>
        <sz val="12"/>
        <color theme="1"/>
        <rFont val="Calibri"/>
        <family val="2"/>
      </rPr>
      <t>:Baird et al. 2004; Q10 temp. rescaled</t>
    </r>
  </si>
  <si>
    <r>
      <rPr>
        <i/>
        <sz val="12"/>
        <color theme="1"/>
        <rFont val="Calibri"/>
        <family val="2"/>
      </rPr>
      <t>Pygospio elegans</t>
    </r>
    <r>
      <rPr>
        <sz val="12"/>
        <color theme="1"/>
        <rFont val="Calibri"/>
        <family val="2"/>
      </rPr>
      <t>: Baird et al. 2004; Q10 temp. rescaled</t>
    </r>
  </si>
  <si>
    <r>
      <rPr>
        <i/>
        <sz val="12"/>
        <color theme="1"/>
        <rFont val="Calibri"/>
        <family val="2"/>
      </rPr>
      <t>Corophium volutator</t>
    </r>
    <r>
      <rPr>
        <sz val="12"/>
        <color theme="1"/>
        <rFont val="Calibri"/>
        <family val="2"/>
      </rPr>
      <t>: Baird et al. 2004; Q10 temp. rescaled</t>
    </r>
  </si>
  <si>
    <t>Jensen and André 1993; Tab. II</t>
  </si>
  <si>
    <t>Jensen and André 1993; Tab.III</t>
  </si>
  <si>
    <t>Barnes and Gandolfi, 1998</t>
  </si>
  <si>
    <t>Ito et al. 2024a</t>
  </si>
  <si>
    <r>
      <t xml:space="preserve">Idotea balthica: </t>
    </r>
    <r>
      <rPr>
        <sz val="12"/>
        <color theme="1"/>
        <rFont val="Calibri"/>
        <family val="2"/>
      </rPr>
      <t>Ito et al. 2024a</t>
    </r>
  </si>
  <si>
    <r>
      <t>Idotea balthica:</t>
    </r>
    <r>
      <rPr>
        <sz val="12"/>
        <color theme="1"/>
        <rFont val="Calibri"/>
        <family val="2"/>
      </rPr>
      <t xml:space="preserve"> Ito et al. 2024a</t>
    </r>
  </si>
  <si>
    <t>Ito et al. 2024b</t>
  </si>
  <si>
    <r>
      <rPr>
        <i/>
        <sz val="12"/>
        <color theme="1"/>
        <rFont val="Calibri"/>
        <family val="2"/>
      </rPr>
      <t>Idotea balthica</t>
    </r>
    <r>
      <rPr>
        <sz val="12"/>
        <color theme="1"/>
        <rFont val="Calibri"/>
        <family val="2"/>
      </rPr>
      <t>: Ito et al. 2024a</t>
    </r>
  </si>
  <si>
    <t>Moore et al. 1993</t>
  </si>
  <si>
    <r>
      <t xml:space="preserve">Hydrobia </t>
    </r>
    <r>
      <rPr>
        <sz val="12"/>
        <color theme="1"/>
        <rFont val="Calibri"/>
        <family val="2"/>
      </rPr>
      <t>sp.: Aberle et al. 2009; Jagnow and Gosselck 1987</t>
    </r>
  </si>
  <si>
    <r>
      <rPr>
        <i/>
        <sz val="12"/>
        <color theme="1"/>
        <rFont val="Calibri"/>
        <family val="2"/>
      </rPr>
      <t xml:space="preserve">Gammarus </t>
    </r>
    <r>
      <rPr>
        <sz val="12"/>
        <color theme="1"/>
        <rFont val="Calibri"/>
        <family val="2"/>
      </rPr>
      <t>sp.: Andersson  et al. 2009; Spooner 1947</t>
    </r>
  </si>
  <si>
    <t>SFDW: Rumohr et al. 1987; Chambers &amp; Milne 1979</t>
  </si>
  <si>
    <t>m_HW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</si>
</sst>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"/>
  </numFmts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theme="1"/>
      <name val="Calibri"/>
      <family val="2"/>
    </font>
    <font>
      <vertAlign val="subscript"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1" xfId="0" applyFont="1" applyBorder="1"/>
    <xf numFmtId="0" fontId="3" fillId="0" borderId="1" xfId="0" applyFont="1" applyBorder="1"/>
    <xf numFmtId="164" fontId="2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4" fillId="0" borderId="1" xfId="0" applyFont="1" applyBorder="1"/>
    <xf numFmtId="165" fontId="2" fillId="0" borderId="0" xfId="0" applyNumberFormat="1" applyFont="1"/>
    <xf numFmtId="164" fontId="4" fillId="0" borderId="0" xfId="0" applyNumberFormat="1" applyFont="1"/>
    <xf numFmtId="165" fontId="2" fillId="0" borderId="1" xfId="0" applyNumberFormat="1" applyFont="1" applyBorder="1"/>
    <xf numFmtId="166" fontId="2" fillId="0" borderId="0" xfId="0" applyNumberFormat="1" applyFont="1"/>
    <xf numFmtId="166" fontId="2" fillId="0" borderId="1" xfId="0" applyNumberFormat="1" applyFont="1" applyBorder="1"/>
    <xf numFmtId="0" fontId="2" fillId="0" borderId="0" xfId="0" quotePrefix="1" applyFont="1"/>
    <xf numFmtId="165" fontId="0" fillId="0" borderId="0" xfId="0" applyNumberFormat="1"/>
    <xf numFmtId="165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="91" zoomScaleNormal="115" workbookViewId="0">
      <selection activeCell="E16" sqref="E16"/>
    </sheetView>
  </sheetViews>
  <sheetFormatPr baseColWidth="10" defaultColWidth="11.5" defaultRowHeight="16" x14ac:dyDescent="0.2"/>
  <cols>
    <col min="1" max="1" width="11.5" style="1"/>
    <col min="2" max="2" width="14.5" style="1" customWidth="1"/>
    <col min="3" max="4" width="11.5" style="1"/>
    <col min="5" max="5" width="54.6640625" style="1" customWidth="1"/>
    <col min="6" max="16384" width="11.5" style="1"/>
  </cols>
  <sheetData>
    <row r="1" spans="1:5" ht="17" thickBot="1" x14ac:dyDescent="0.25">
      <c r="A1" s="6" t="s">
        <v>1</v>
      </c>
      <c r="B1" s="6" t="s">
        <v>0</v>
      </c>
      <c r="C1" s="6" t="s">
        <v>11</v>
      </c>
      <c r="D1" s="6" t="s">
        <v>12</v>
      </c>
      <c r="E1" s="6" t="s">
        <v>4</v>
      </c>
    </row>
    <row r="2" spans="1:5" x14ac:dyDescent="0.2">
      <c r="A2" s="1" t="s">
        <v>49</v>
      </c>
      <c r="B2" s="3" t="s">
        <v>2</v>
      </c>
      <c r="C2" s="15">
        <v>-1.77</v>
      </c>
      <c r="D2" s="15">
        <v>2.5099999999999998</v>
      </c>
      <c r="E2" s="1" t="s">
        <v>131</v>
      </c>
    </row>
    <row r="3" spans="1:5" x14ac:dyDescent="0.2">
      <c r="A3" s="1" t="s">
        <v>50</v>
      </c>
      <c r="B3" s="1" t="s">
        <v>46</v>
      </c>
      <c r="C3" s="15">
        <v>-1.69</v>
      </c>
      <c r="D3" s="15">
        <v>2.6</v>
      </c>
      <c r="E3" s="1" t="s">
        <v>131</v>
      </c>
    </row>
    <row r="4" spans="1:5" ht="17" thickBot="1" x14ac:dyDescent="0.25">
      <c r="A4" s="6" t="s">
        <v>51</v>
      </c>
      <c r="B4" s="7" t="s">
        <v>3</v>
      </c>
      <c r="C4" s="16">
        <v>0.19</v>
      </c>
      <c r="D4" s="16">
        <v>2.34</v>
      </c>
      <c r="E4" s="6" t="s">
        <v>131</v>
      </c>
    </row>
    <row r="5" spans="1:5" ht="18" x14ac:dyDescent="0.25">
      <c r="A5" s="1" t="s">
        <v>35</v>
      </c>
      <c r="B5" s="4" t="s">
        <v>70</v>
      </c>
      <c r="C5" s="15">
        <v>1.95</v>
      </c>
      <c r="D5" s="15">
        <v>2.44</v>
      </c>
      <c r="E5" s="1" t="s">
        <v>85</v>
      </c>
    </row>
    <row r="6" spans="1:5" x14ac:dyDescent="0.2">
      <c r="A6" s="1" t="s">
        <v>83</v>
      </c>
      <c r="B6" s="3" t="s">
        <v>62</v>
      </c>
      <c r="C6" s="1">
        <v>-1.994</v>
      </c>
      <c r="D6" s="1">
        <v>3.3530000000000002</v>
      </c>
      <c r="E6" s="1" t="s">
        <v>139</v>
      </c>
    </row>
    <row r="7" spans="1:5" x14ac:dyDescent="0.2">
      <c r="A7" s="1" t="s">
        <v>43</v>
      </c>
      <c r="B7" s="5" t="s">
        <v>48</v>
      </c>
      <c r="C7" s="1">
        <v>-1.6479999999999999</v>
      </c>
      <c r="D7" s="1">
        <v>2.6680000000000001</v>
      </c>
      <c r="E7" s="1" t="s">
        <v>86</v>
      </c>
    </row>
    <row r="8" spans="1:5" ht="17" thickBot="1" x14ac:dyDescent="0.25">
      <c r="A8" s="6" t="s">
        <v>34</v>
      </c>
      <c r="B8" s="7" t="s">
        <v>65</v>
      </c>
      <c r="C8" s="6">
        <v>-1.7889999999999999</v>
      </c>
      <c r="D8" s="6">
        <v>2.468</v>
      </c>
      <c r="E8" s="6" t="s">
        <v>87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abSelected="1" zoomScale="91" zoomScaleNormal="115" workbookViewId="0">
      <pane ySplit="1" topLeftCell="A2" activePane="bottomLeft" state="frozen"/>
      <selection pane="bottomLeft" activeCell="L15" sqref="L15"/>
    </sheetView>
  </sheetViews>
  <sheetFormatPr baseColWidth="10" defaultColWidth="11.5" defaultRowHeight="16" x14ac:dyDescent="0.2"/>
  <cols>
    <col min="1" max="1" width="11.5" style="1"/>
    <col min="2" max="2" width="26" style="1" customWidth="1"/>
    <col min="3" max="3" width="11.5" style="1"/>
    <col min="4" max="6" width="12.1640625" style="1" customWidth="1"/>
    <col min="7" max="7" width="48" style="1" bestFit="1" customWidth="1"/>
    <col min="8" max="8" width="38.5" style="1" bestFit="1" customWidth="1"/>
    <col min="9" max="9" width="49.1640625" style="1" customWidth="1"/>
    <col min="10" max="16384" width="11.5" style="1"/>
  </cols>
  <sheetData>
    <row r="1" spans="1:9" ht="17" thickBot="1" x14ac:dyDescent="0.25">
      <c r="A1" s="6" t="s">
        <v>1</v>
      </c>
      <c r="B1" s="6" t="s">
        <v>15</v>
      </c>
      <c r="C1" s="6" t="s">
        <v>5</v>
      </c>
      <c r="D1" s="6" t="s">
        <v>58</v>
      </c>
      <c r="E1" s="6" t="s">
        <v>10</v>
      </c>
      <c r="F1" s="6" t="s">
        <v>122</v>
      </c>
      <c r="G1" s="6" t="s">
        <v>59</v>
      </c>
      <c r="H1" s="6" t="s">
        <v>55</v>
      </c>
      <c r="I1" s="6" t="s">
        <v>9</v>
      </c>
    </row>
    <row r="2" spans="1:9" x14ac:dyDescent="0.2">
      <c r="A2" s="1" t="s">
        <v>49</v>
      </c>
      <c r="B2" s="3" t="s">
        <v>2</v>
      </c>
      <c r="C2" s="1" t="s">
        <v>6</v>
      </c>
      <c r="D2" s="2">
        <v>0.30270000000000002</v>
      </c>
      <c r="E2" s="2">
        <f>ROUND(0.032812046,4)</f>
        <v>3.2800000000000003E-2</v>
      </c>
      <c r="F2" s="2">
        <v>0.8488</v>
      </c>
      <c r="G2" s="1" t="s">
        <v>131</v>
      </c>
      <c r="H2" s="1" t="s">
        <v>56</v>
      </c>
      <c r="I2" s="1" t="s">
        <v>131</v>
      </c>
    </row>
    <row r="3" spans="1:9" x14ac:dyDescent="0.2">
      <c r="A3" s="1" t="s">
        <v>49</v>
      </c>
      <c r="B3" s="3" t="s">
        <v>2</v>
      </c>
      <c r="C3" s="1" t="s">
        <v>7</v>
      </c>
      <c r="D3" s="2">
        <v>0.30099999999999999</v>
      </c>
      <c r="E3" s="2">
        <v>6.5787947871054936E-2</v>
      </c>
      <c r="F3" s="2">
        <v>0.8488</v>
      </c>
      <c r="G3" s="1" t="s">
        <v>131</v>
      </c>
      <c r="H3" s="1" t="s">
        <v>56</v>
      </c>
      <c r="I3" s="1" t="s">
        <v>131</v>
      </c>
    </row>
    <row r="4" spans="1:9" ht="17" thickBot="1" x14ac:dyDescent="0.25">
      <c r="A4" s="6" t="s">
        <v>49</v>
      </c>
      <c r="B4" s="7" t="s">
        <v>2</v>
      </c>
      <c r="C4" s="6" t="s">
        <v>8</v>
      </c>
      <c r="D4" s="8">
        <v>0.33160000000000001</v>
      </c>
      <c r="E4" s="8">
        <v>6.5787947871054936E-2</v>
      </c>
      <c r="F4" s="8">
        <v>0.8488</v>
      </c>
      <c r="G4" s="6" t="s">
        <v>131</v>
      </c>
      <c r="H4" s="6" t="s">
        <v>56</v>
      </c>
      <c r="I4" s="6" t="s">
        <v>131</v>
      </c>
    </row>
    <row r="5" spans="1:9" x14ac:dyDescent="0.2">
      <c r="A5" s="1" t="s">
        <v>43</v>
      </c>
      <c r="B5" s="5" t="s">
        <v>48</v>
      </c>
      <c r="C5" s="1" t="s">
        <v>6</v>
      </c>
      <c r="D5" s="2">
        <v>0.30270000000000002</v>
      </c>
      <c r="E5" s="2">
        <f>ROUND(0.032812046,4)</f>
        <v>3.2800000000000003E-2</v>
      </c>
      <c r="F5" s="2">
        <v>0.8488</v>
      </c>
      <c r="G5" s="1" t="s">
        <v>135</v>
      </c>
      <c r="H5" s="1" t="s">
        <v>98</v>
      </c>
      <c r="I5" s="3" t="s">
        <v>74</v>
      </c>
    </row>
    <row r="6" spans="1:9" x14ac:dyDescent="0.2">
      <c r="A6" s="1" t="s">
        <v>43</v>
      </c>
      <c r="B6" s="5" t="s">
        <v>48</v>
      </c>
      <c r="C6" s="1" t="s">
        <v>7</v>
      </c>
      <c r="D6" s="2">
        <v>0.30099999999999999</v>
      </c>
      <c r="E6" s="2">
        <v>6.5787947871054936E-2</v>
      </c>
      <c r="F6" s="2">
        <v>0.8488</v>
      </c>
      <c r="G6" s="1" t="s">
        <v>135</v>
      </c>
      <c r="H6" s="1" t="s">
        <v>98</v>
      </c>
      <c r="I6" s="3" t="s">
        <v>74</v>
      </c>
    </row>
    <row r="7" spans="1:9" ht="17" thickBot="1" x14ac:dyDescent="0.25">
      <c r="A7" s="6" t="s">
        <v>43</v>
      </c>
      <c r="B7" s="9" t="s">
        <v>48</v>
      </c>
      <c r="C7" s="6" t="s">
        <v>8</v>
      </c>
      <c r="D7" s="8">
        <v>0.33160000000000001</v>
      </c>
      <c r="E7" s="8">
        <v>6.5787947871054936E-2</v>
      </c>
      <c r="F7" s="8">
        <v>0.8488</v>
      </c>
      <c r="G7" s="6" t="s">
        <v>135</v>
      </c>
      <c r="H7" s="6" t="s">
        <v>98</v>
      </c>
      <c r="I7" s="7" t="s">
        <v>74</v>
      </c>
    </row>
    <row r="8" spans="1:9" x14ac:dyDescent="0.2">
      <c r="A8" s="1" t="s">
        <v>50</v>
      </c>
      <c r="B8" s="1" t="s">
        <v>46</v>
      </c>
      <c r="C8" s="1" t="s">
        <v>6</v>
      </c>
      <c r="D8" s="2">
        <v>0.3594</v>
      </c>
      <c r="E8" s="2">
        <v>1.17E-2</v>
      </c>
      <c r="F8" s="2">
        <v>0.77780000000000005</v>
      </c>
      <c r="G8" s="1" t="s">
        <v>131</v>
      </c>
      <c r="H8" s="1" t="s">
        <v>72</v>
      </c>
      <c r="I8" s="1" t="s">
        <v>57</v>
      </c>
    </row>
    <row r="9" spans="1:9" x14ac:dyDescent="0.2">
      <c r="A9" s="1" t="s">
        <v>50</v>
      </c>
      <c r="B9" s="1" t="s">
        <v>46</v>
      </c>
      <c r="C9" s="1" t="s">
        <v>7</v>
      </c>
      <c r="D9" s="2">
        <v>0.31190000000000001</v>
      </c>
      <c r="E9" s="2">
        <v>1.8100000000000002E-2</v>
      </c>
      <c r="F9" s="2">
        <v>0.77780000000000005</v>
      </c>
      <c r="G9" s="1" t="s">
        <v>131</v>
      </c>
      <c r="H9" s="1" t="s">
        <v>72</v>
      </c>
      <c r="I9" s="1" t="s">
        <v>57</v>
      </c>
    </row>
    <row r="10" spans="1:9" ht="17" thickBot="1" x14ac:dyDescent="0.25">
      <c r="A10" s="6" t="s">
        <v>50</v>
      </c>
      <c r="B10" s="6" t="s">
        <v>46</v>
      </c>
      <c r="C10" s="6" t="s">
        <v>8</v>
      </c>
      <c r="D10" s="8">
        <v>0.32919999999999999</v>
      </c>
      <c r="E10" s="8">
        <v>1.8100000000000002E-2</v>
      </c>
      <c r="F10" s="8">
        <v>0.77780000000000005</v>
      </c>
      <c r="G10" s="6" t="s">
        <v>131</v>
      </c>
      <c r="H10" s="6" t="s">
        <v>72</v>
      </c>
      <c r="I10" s="6" t="s">
        <v>57</v>
      </c>
    </row>
    <row r="11" spans="1:9" x14ac:dyDescent="0.2">
      <c r="A11" s="1" t="s">
        <v>51</v>
      </c>
      <c r="B11" s="3" t="s">
        <v>3</v>
      </c>
      <c r="C11" s="1" t="s">
        <v>6</v>
      </c>
      <c r="D11" s="2">
        <v>0.37890000000000001</v>
      </c>
      <c r="E11" s="2">
        <v>1.54E-2</v>
      </c>
      <c r="F11" s="2">
        <v>0.90429999999999999</v>
      </c>
      <c r="G11" s="1" t="s">
        <v>131</v>
      </c>
      <c r="H11" s="1" t="s">
        <v>72</v>
      </c>
      <c r="I11" s="1" t="s">
        <v>45</v>
      </c>
    </row>
    <row r="12" spans="1:9" x14ac:dyDescent="0.2">
      <c r="A12" s="1" t="s">
        <v>51</v>
      </c>
      <c r="B12" s="3" t="s">
        <v>3</v>
      </c>
      <c r="C12" s="1" t="s">
        <v>7</v>
      </c>
      <c r="D12" s="2">
        <v>0.27889999999999998</v>
      </c>
      <c r="E12" s="2">
        <v>1.6500000000000001E-2</v>
      </c>
      <c r="F12" s="2">
        <v>0.90429999999999999</v>
      </c>
      <c r="G12" s="1" t="s">
        <v>131</v>
      </c>
      <c r="H12" s="1" t="s">
        <v>72</v>
      </c>
      <c r="I12" s="1" t="s">
        <v>45</v>
      </c>
    </row>
    <row r="13" spans="1:9" ht="17" thickBot="1" x14ac:dyDescent="0.25">
      <c r="A13" s="6" t="s">
        <v>51</v>
      </c>
      <c r="B13" s="7" t="s">
        <v>3</v>
      </c>
      <c r="C13" s="6" t="s">
        <v>8</v>
      </c>
      <c r="D13" s="8">
        <v>0.47660000000000002</v>
      </c>
      <c r="E13" s="8">
        <v>1.6500000000000001E-2</v>
      </c>
      <c r="F13" s="8">
        <v>0.90429999999999999</v>
      </c>
      <c r="G13" s="6" t="s">
        <v>131</v>
      </c>
      <c r="H13" s="6" t="s">
        <v>72</v>
      </c>
      <c r="I13" s="6" t="s">
        <v>45</v>
      </c>
    </row>
    <row r="14" spans="1:9" x14ac:dyDescent="0.2">
      <c r="A14" s="1" t="s">
        <v>83</v>
      </c>
      <c r="B14" s="3" t="s">
        <v>62</v>
      </c>
      <c r="C14" s="1" t="s">
        <v>6</v>
      </c>
      <c r="D14" s="2">
        <v>0.56586538461538405</v>
      </c>
      <c r="E14" s="2">
        <v>4.5791037856458758E-2</v>
      </c>
      <c r="F14" s="2">
        <v>0.25423728813559321</v>
      </c>
      <c r="G14" s="1" t="s">
        <v>71</v>
      </c>
      <c r="H14" s="1" t="s">
        <v>72</v>
      </c>
      <c r="I14" s="1" t="s">
        <v>57</v>
      </c>
    </row>
    <row r="15" spans="1:9" x14ac:dyDescent="0.2">
      <c r="A15" s="1" t="s">
        <v>83</v>
      </c>
      <c r="B15" s="3" t="s">
        <v>62</v>
      </c>
      <c r="C15" s="1" t="s">
        <v>7</v>
      </c>
      <c r="D15" s="2">
        <v>0.56586538461538449</v>
      </c>
      <c r="E15" s="2">
        <v>6.0228706826487108E-2</v>
      </c>
      <c r="F15" s="2">
        <v>0.25423728813559321</v>
      </c>
      <c r="G15" s="1" t="s">
        <v>71</v>
      </c>
      <c r="H15" s="1" t="s">
        <v>72</v>
      </c>
      <c r="I15" s="1" t="s">
        <v>57</v>
      </c>
    </row>
    <row r="16" spans="1:9" ht="17" thickBot="1" x14ac:dyDescent="0.25">
      <c r="A16" s="6" t="s">
        <v>83</v>
      </c>
      <c r="B16" s="7" t="s">
        <v>62</v>
      </c>
      <c r="C16" s="6" t="s">
        <v>8</v>
      </c>
      <c r="D16" s="8">
        <v>0.56586538461538449</v>
      </c>
      <c r="E16" s="8">
        <v>6.0228706826487108E-2</v>
      </c>
      <c r="F16" s="8">
        <v>0.25423728813559321</v>
      </c>
      <c r="G16" s="6" t="s">
        <v>71</v>
      </c>
      <c r="H16" s="6" t="s">
        <v>72</v>
      </c>
      <c r="I16" s="6" t="s">
        <v>57</v>
      </c>
    </row>
    <row r="17" spans="1:9" x14ac:dyDescent="0.2">
      <c r="A17" s="1" t="s">
        <v>13</v>
      </c>
      <c r="B17" s="3" t="s">
        <v>66</v>
      </c>
      <c r="C17" s="1" t="s">
        <v>6</v>
      </c>
      <c r="D17" s="2">
        <v>0.43090000000000001</v>
      </c>
      <c r="E17" s="2">
        <v>3.8E-3</v>
      </c>
      <c r="F17" s="2">
        <v>0.80800000000000005</v>
      </c>
      <c r="G17" s="1" t="s">
        <v>131</v>
      </c>
      <c r="H17" s="1" t="s">
        <v>72</v>
      </c>
      <c r="I17" s="1" t="s">
        <v>69</v>
      </c>
    </row>
    <row r="18" spans="1:9" x14ac:dyDescent="0.2">
      <c r="A18" s="1" t="s">
        <v>13</v>
      </c>
      <c r="B18" s="3" t="s">
        <v>32</v>
      </c>
      <c r="C18" s="1" t="s">
        <v>7</v>
      </c>
      <c r="D18" s="2">
        <v>0.3508</v>
      </c>
      <c r="E18" s="2">
        <v>4.4000000000000003E-3</v>
      </c>
      <c r="F18" s="2">
        <v>0.80800000000000005</v>
      </c>
      <c r="G18" s="1" t="s">
        <v>131</v>
      </c>
      <c r="H18" s="1" t="s">
        <v>72</v>
      </c>
      <c r="I18" s="1" t="s">
        <v>69</v>
      </c>
    </row>
    <row r="19" spans="1:9" ht="17" thickBot="1" x14ac:dyDescent="0.25">
      <c r="A19" s="6" t="s">
        <v>13</v>
      </c>
      <c r="B19" s="7" t="s">
        <v>32</v>
      </c>
      <c r="C19" s="6" t="s">
        <v>8</v>
      </c>
      <c r="D19" s="8">
        <v>0.3054</v>
      </c>
      <c r="E19" s="8">
        <v>4.4000000000000003E-3</v>
      </c>
      <c r="F19" s="8">
        <v>0.80800000000000005</v>
      </c>
      <c r="G19" s="6" t="s">
        <v>131</v>
      </c>
      <c r="H19" s="6" t="s">
        <v>72</v>
      </c>
      <c r="I19" s="6" t="s">
        <v>69</v>
      </c>
    </row>
    <row r="20" spans="1:9" x14ac:dyDescent="0.2">
      <c r="A20" s="1" t="s">
        <v>31</v>
      </c>
      <c r="B20" s="3" t="s">
        <v>63</v>
      </c>
      <c r="C20" s="1" t="s">
        <v>6</v>
      </c>
      <c r="D20" s="2">
        <v>0.3634782608695652</v>
      </c>
      <c r="E20" s="2">
        <v>1.2578084271739254E-2</v>
      </c>
      <c r="F20" s="2">
        <v>0.74022346368715075</v>
      </c>
      <c r="G20" s="1" t="s">
        <v>99</v>
      </c>
      <c r="H20" s="1" t="s">
        <v>73</v>
      </c>
      <c r="I20" s="1" t="s">
        <v>100</v>
      </c>
    </row>
    <row r="21" spans="1:9" x14ac:dyDescent="0.2">
      <c r="A21" s="1" t="s">
        <v>31</v>
      </c>
      <c r="B21" s="3" t="s">
        <v>63</v>
      </c>
      <c r="C21" s="1" t="s">
        <v>7</v>
      </c>
      <c r="D21" s="2">
        <v>0.3634782608695652</v>
      </c>
      <c r="E21" s="2">
        <v>2.1966679813714956E-2</v>
      </c>
      <c r="F21" s="2">
        <v>0.74022346368715075</v>
      </c>
      <c r="G21" s="1" t="s">
        <v>99</v>
      </c>
      <c r="H21" s="1" t="s">
        <v>73</v>
      </c>
      <c r="I21" s="1" t="s">
        <v>100</v>
      </c>
    </row>
    <row r="22" spans="1:9" ht="17" thickBot="1" x14ac:dyDescent="0.25">
      <c r="A22" s="6" t="s">
        <v>31</v>
      </c>
      <c r="B22" s="7" t="s">
        <v>63</v>
      </c>
      <c r="C22" s="6" t="s">
        <v>8</v>
      </c>
      <c r="D22" s="8">
        <v>0.3634782608695652</v>
      </c>
      <c r="E22" s="8">
        <v>2.1966679813714956E-2</v>
      </c>
      <c r="F22" s="8">
        <v>0.74022346368715075</v>
      </c>
      <c r="G22" s="6" t="s">
        <v>99</v>
      </c>
      <c r="H22" s="6" t="s">
        <v>73</v>
      </c>
      <c r="I22" s="6" t="s">
        <v>100</v>
      </c>
    </row>
    <row r="23" spans="1:9" x14ac:dyDescent="0.2">
      <c r="A23" s="1" t="s">
        <v>31</v>
      </c>
      <c r="B23" s="3" t="s">
        <v>33</v>
      </c>
      <c r="C23" s="1" t="s">
        <v>6</v>
      </c>
      <c r="D23" s="2">
        <v>0.3634782608695652</v>
      </c>
      <c r="E23" s="2">
        <v>7.9000000000000008E-3</v>
      </c>
      <c r="F23" s="2">
        <v>0.74022346368715075</v>
      </c>
      <c r="G23" s="1" t="s">
        <v>99</v>
      </c>
      <c r="H23" s="1" t="s">
        <v>72</v>
      </c>
      <c r="I23" s="1" t="s">
        <v>72</v>
      </c>
    </row>
    <row r="24" spans="1:9" x14ac:dyDescent="0.2">
      <c r="A24" s="1" t="s">
        <v>31</v>
      </c>
      <c r="B24" s="3" t="s">
        <v>33</v>
      </c>
      <c r="C24" s="1" t="s">
        <v>7</v>
      </c>
      <c r="D24" s="2">
        <v>0.3634782608695652</v>
      </c>
      <c r="E24" s="2">
        <v>1.12E-2</v>
      </c>
      <c r="F24" s="2">
        <v>0.74022346368715075</v>
      </c>
      <c r="G24" s="1" t="s">
        <v>99</v>
      </c>
      <c r="H24" s="1" t="s">
        <v>72</v>
      </c>
      <c r="I24" s="1" t="s">
        <v>72</v>
      </c>
    </row>
    <row r="25" spans="1:9" ht="17" thickBot="1" x14ac:dyDescent="0.25">
      <c r="A25" s="6" t="s">
        <v>31</v>
      </c>
      <c r="B25" s="7" t="s">
        <v>33</v>
      </c>
      <c r="C25" s="6" t="s">
        <v>8</v>
      </c>
      <c r="D25" s="8">
        <v>0.3634782608695652</v>
      </c>
      <c r="E25" s="8">
        <v>1.12E-2</v>
      </c>
      <c r="F25" s="8">
        <v>0.74022346368715075</v>
      </c>
      <c r="G25" s="6" t="s">
        <v>99</v>
      </c>
      <c r="H25" s="6" t="s">
        <v>72</v>
      </c>
      <c r="I25" s="6" t="s">
        <v>72</v>
      </c>
    </row>
    <row r="26" spans="1:9" x14ac:dyDescent="0.2">
      <c r="A26" s="1" t="s">
        <v>31</v>
      </c>
      <c r="B26" s="3" t="s">
        <v>54</v>
      </c>
      <c r="C26" s="1" t="s">
        <v>6</v>
      </c>
      <c r="D26" s="2">
        <v>0.3634782608695652</v>
      </c>
      <c r="E26" s="2">
        <v>7.9000000000000008E-3</v>
      </c>
      <c r="F26" s="2">
        <v>0.74022346368715075</v>
      </c>
      <c r="G26" s="1" t="s">
        <v>99</v>
      </c>
      <c r="H26" s="1" t="s">
        <v>100</v>
      </c>
      <c r="I26" s="1" t="s">
        <v>100</v>
      </c>
    </row>
    <row r="27" spans="1:9" x14ac:dyDescent="0.2">
      <c r="A27" s="1" t="s">
        <v>31</v>
      </c>
      <c r="B27" s="3" t="s">
        <v>54</v>
      </c>
      <c r="C27" s="1" t="s">
        <v>7</v>
      </c>
      <c r="D27" s="2">
        <v>0.3634782608695652</v>
      </c>
      <c r="E27" s="2">
        <v>1.12E-2</v>
      </c>
      <c r="F27" s="2">
        <v>0.74022346368715075</v>
      </c>
      <c r="G27" s="1" t="s">
        <v>99</v>
      </c>
      <c r="H27" s="1" t="s">
        <v>100</v>
      </c>
      <c r="I27" s="1" t="s">
        <v>100</v>
      </c>
    </row>
    <row r="28" spans="1:9" ht="17" thickBot="1" x14ac:dyDescent="0.25">
      <c r="A28" s="6" t="s">
        <v>31</v>
      </c>
      <c r="B28" s="7" t="s">
        <v>54</v>
      </c>
      <c r="C28" s="6" t="s">
        <v>8</v>
      </c>
      <c r="D28" s="8">
        <v>0.3634782608695652</v>
      </c>
      <c r="E28" s="8">
        <v>1.12E-2</v>
      </c>
      <c r="F28" s="8">
        <v>0.74022346368715097</v>
      </c>
      <c r="G28" s="6" t="s">
        <v>99</v>
      </c>
      <c r="H28" s="6" t="s">
        <v>100</v>
      </c>
      <c r="I28" s="6" t="s">
        <v>100</v>
      </c>
    </row>
    <row r="29" spans="1:9" x14ac:dyDescent="0.2">
      <c r="A29" s="1" t="s">
        <v>35</v>
      </c>
      <c r="B29" s="3" t="s">
        <v>61</v>
      </c>
      <c r="C29" s="1" t="s">
        <v>6</v>
      </c>
      <c r="D29" s="2">
        <v>0.33500000000000002</v>
      </c>
      <c r="E29" s="2">
        <v>1.09E-2</v>
      </c>
      <c r="F29" s="2">
        <v>0.86750000000000005</v>
      </c>
      <c r="G29" s="1" t="s">
        <v>71</v>
      </c>
      <c r="H29" s="1" t="s">
        <v>72</v>
      </c>
      <c r="I29" s="1" t="s">
        <v>68</v>
      </c>
    </row>
    <row r="30" spans="1:9" x14ac:dyDescent="0.2">
      <c r="A30" s="1" t="s">
        <v>35</v>
      </c>
      <c r="B30" s="3" t="s">
        <v>61</v>
      </c>
      <c r="C30" s="1" t="s">
        <v>7</v>
      </c>
      <c r="D30" s="2">
        <v>0.33500000000000002</v>
      </c>
      <c r="E30" s="2">
        <v>1.6899999999999998E-2</v>
      </c>
      <c r="F30" s="2">
        <v>0.86750000000000005</v>
      </c>
      <c r="G30" s="1" t="s">
        <v>71</v>
      </c>
      <c r="H30" s="1" t="s">
        <v>72</v>
      </c>
      <c r="I30" s="1" t="s">
        <v>68</v>
      </c>
    </row>
    <row r="31" spans="1:9" ht="17" thickBot="1" x14ac:dyDescent="0.25">
      <c r="A31" s="6" t="s">
        <v>35</v>
      </c>
      <c r="B31" s="7" t="s">
        <v>61</v>
      </c>
      <c r="C31" s="6" t="s">
        <v>8</v>
      </c>
      <c r="D31" s="8">
        <v>0.33500000000000002</v>
      </c>
      <c r="E31" s="8">
        <v>1.6899999999999998E-2</v>
      </c>
      <c r="F31" s="8">
        <v>0.86750000000000005</v>
      </c>
      <c r="G31" s="6" t="s">
        <v>71</v>
      </c>
      <c r="H31" s="6" t="s">
        <v>72</v>
      </c>
      <c r="I31" s="6" t="s">
        <v>68</v>
      </c>
    </row>
    <row r="32" spans="1:9" x14ac:dyDescent="0.2">
      <c r="A32" s="1" t="s">
        <v>35</v>
      </c>
      <c r="B32" s="5" t="s">
        <v>64</v>
      </c>
      <c r="C32" s="1" t="s">
        <v>6</v>
      </c>
      <c r="D32" s="2">
        <v>0.33500000000000002</v>
      </c>
      <c r="E32" s="2">
        <v>1.09E-2</v>
      </c>
      <c r="F32" s="2">
        <v>0.86750000000000005</v>
      </c>
      <c r="G32" s="1" t="s">
        <v>101</v>
      </c>
      <c r="H32" s="1" t="s">
        <v>102</v>
      </c>
      <c r="I32" s="1" t="s">
        <v>103</v>
      </c>
    </row>
    <row r="33" spans="1:9" x14ac:dyDescent="0.2">
      <c r="A33" s="1" t="s">
        <v>35</v>
      </c>
      <c r="B33" s="5" t="s">
        <v>64</v>
      </c>
      <c r="C33" s="1" t="s">
        <v>7</v>
      </c>
      <c r="D33" s="2">
        <v>0.33500000000000002</v>
      </c>
      <c r="E33" s="2">
        <v>1.6899999999999998E-2</v>
      </c>
      <c r="F33" s="2">
        <v>0.86750000000000005</v>
      </c>
      <c r="G33" s="1" t="s">
        <v>101</v>
      </c>
      <c r="H33" s="1" t="s">
        <v>102</v>
      </c>
      <c r="I33" s="1" t="s">
        <v>103</v>
      </c>
    </row>
    <row r="34" spans="1:9" ht="17" thickBot="1" x14ac:dyDescent="0.25">
      <c r="A34" s="6" t="s">
        <v>35</v>
      </c>
      <c r="B34" s="9" t="s">
        <v>64</v>
      </c>
      <c r="C34" s="6" t="s">
        <v>8</v>
      </c>
      <c r="D34" s="8">
        <v>0.33500000000000002</v>
      </c>
      <c r="E34" s="8">
        <v>1.6899999999999998E-2</v>
      </c>
      <c r="F34" s="8">
        <v>0.86750000000000005</v>
      </c>
      <c r="G34" s="6" t="s">
        <v>101</v>
      </c>
      <c r="H34" s="6" t="s">
        <v>102</v>
      </c>
      <c r="I34" s="6" t="s">
        <v>103</v>
      </c>
    </row>
    <row r="35" spans="1:9" x14ac:dyDescent="0.2">
      <c r="A35" s="1" t="s">
        <v>34</v>
      </c>
      <c r="B35" s="3" t="s">
        <v>65</v>
      </c>
      <c r="C35" s="1" t="s">
        <v>6</v>
      </c>
      <c r="D35" s="2">
        <v>0.2908</v>
      </c>
      <c r="E35" s="2">
        <v>1.7100000000000001E-2</v>
      </c>
      <c r="F35" s="2">
        <v>0.81</v>
      </c>
      <c r="G35" s="1" t="s">
        <v>131</v>
      </c>
      <c r="H35" s="1" t="s">
        <v>72</v>
      </c>
      <c r="I35" s="1" t="s">
        <v>67</v>
      </c>
    </row>
    <row r="36" spans="1:9" x14ac:dyDescent="0.2">
      <c r="A36" s="1" t="s">
        <v>34</v>
      </c>
      <c r="B36" s="3" t="s">
        <v>65</v>
      </c>
      <c r="C36" s="1" t="s">
        <v>7</v>
      </c>
      <c r="D36" s="2">
        <v>0.2908</v>
      </c>
      <c r="E36" s="2">
        <v>2.6499999999999999E-2</v>
      </c>
      <c r="F36" s="2">
        <v>0.81</v>
      </c>
      <c r="G36" s="1" t="s">
        <v>131</v>
      </c>
      <c r="H36" s="1" t="s">
        <v>72</v>
      </c>
      <c r="I36" s="1" t="s">
        <v>67</v>
      </c>
    </row>
    <row r="37" spans="1:9" ht="17" thickBot="1" x14ac:dyDescent="0.25">
      <c r="A37" s="6" t="s">
        <v>34</v>
      </c>
      <c r="B37" s="7" t="s">
        <v>65</v>
      </c>
      <c r="C37" s="6" t="s">
        <v>8</v>
      </c>
      <c r="D37" s="8">
        <v>0.2908</v>
      </c>
      <c r="E37" s="8">
        <v>2.6499999999999999E-2</v>
      </c>
      <c r="F37" s="8">
        <v>0.81</v>
      </c>
      <c r="G37" s="6" t="s">
        <v>131</v>
      </c>
      <c r="H37" s="6" t="s">
        <v>72</v>
      </c>
      <c r="I37" s="6" t="s">
        <v>67</v>
      </c>
    </row>
    <row r="38" spans="1:9" x14ac:dyDescent="0.2">
      <c r="A38" s="1" t="s">
        <v>34</v>
      </c>
      <c r="B38" s="3" t="s">
        <v>53</v>
      </c>
      <c r="C38" s="1" t="s">
        <v>6</v>
      </c>
      <c r="D38" s="2">
        <v>0.41956521739130437</v>
      </c>
      <c r="E38" s="2">
        <v>4.0924449433184684E-2</v>
      </c>
      <c r="F38" s="2">
        <v>0.66519823788546251</v>
      </c>
      <c r="G38" s="1" t="s">
        <v>71</v>
      </c>
      <c r="H38" s="1" t="s">
        <v>104</v>
      </c>
      <c r="I38" s="1" t="s">
        <v>105</v>
      </c>
    </row>
    <row r="39" spans="1:9" x14ac:dyDescent="0.2">
      <c r="A39" s="1" t="s">
        <v>34</v>
      </c>
      <c r="B39" s="3" t="s">
        <v>53</v>
      </c>
      <c r="C39" s="1" t="s">
        <v>7</v>
      </c>
      <c r="D39" s="2">
        <v>0.41956521739130437</v>
      </c>
      <c r="E39" s="2">
        <v>6.4836521414533929E-2</v>
      </c>
      <c r="F39" s="2">
        <v>0.66519823788546251</v>
      </c>
      <c r="G39" s="1" t="s">
        <v>71</v>
      </c>
      <c r="H39" s="1" t="s">
        <v>104</v>
      </c>
      <c r="I39" s="1" t="s">
        <v>105</v>
      </c>
    </row>
    <row r="40" spans="1:9" ht="17" thickBot="1" x14ac:dyDescent="0.25">
      <c r="A40" s="6" t="s">
        <v>34</v>
      </c>
      <c r="B40" s="7" t="s">
        <v>53</v>
      </c>
      <c r="C40" s="6" t="s">
        <v>8</v>
      </c>
      <c r="D40" s="8">
        <v>0.41956521739130398</v>
      </c>
      <c r="E40" s="8">
        <v>6.4836521414533929E-2</v>
      </c>
      <c r="F40" s="8">
        <v>0.66519823788546251</v>
      </c>
      <c r="G40" s="6" t="s">
        <v>71</v>
      </c>
      <c r="H40" s="6" t="s">
        <v>104</v>
      </c>
      <c r="I40" s="6" t="s">
        <v>105</v>
      </c>
    </row>
    <row r="41" spans="1:9" x14ac:dyDescent="0.2">
      <c r="A41" s="1" t="s">
        <v>34</v>
      </c>
      <c r="B41" s="3" t="s">
        <v>52</v>
      </c>
      <c r="C41" s="1" t="s">
        <v>6</v>
      </c>
      <c r="D41" s="2">
        <v>0.4294</v>
      </c>
      <c r="E41" s="2">
        <v>8.355182670160527E-2</v>
      </c>
      <c r="F41" s="2">
        <v>0.18347130828557301</v>
      </c>
      <c r="G41" s="1" t="s">
        <v>131</v>
      </c>
      <c r="H41" s="1" t="s">
        <v>72</v>
      </c>
      <c r="I41" s="1" t="s">
        <v>57</v>
      </c>
    </row>
    <row r="42" spans="1:9" x14ac:dyDescent="0.2">
      <c r="A42" s="1" t="s">
        <v>34</v>
      </c>
      <c r="B42" s="3" t="s">
        <v>52</v>
      </c>
      <c r="C42" s="1" t="s">
        <v>7</v>
      </c>
      <c r="D42" s="2">
        <v>0.42499999999999999</v>
      </c>
      <c r="E42" s="2">
        <v>0.10699854532696756</v>
      </c>
      <c r="F42" s="2">
        <v>0.18347130828557301</v>
      </c>
      <c r="G42" s="1" t="s">
        <v>131</v>
      </c>
      <c r="H42" s="1" t="s">
        <v>72</v>
      </c>
      <c r="I42" s="1" t="s">
        <v>57</v>
      </c>
    </row>
    <row r="43" spans="1:9" ht="17" thickBot="1" x14ac:dyDescent="0.25">
      <c r="A43" s="6" t="s">
        <v>34</v>
      </c>
      <c r="B43" s="7" t="s">
        <v>52</v>
      </c>
      <c r="C43" s="6" t="s">
        <v>8</v>
      </c>
      <c r="D43" s="8">
        <v>0.37240000000000001</v>
      </c>
      <c r="E43" s="8">
        <v>0.10699854532696756</v>
      </c>
      <c r="F43" s="8">
        <v>0.18347130828557301</v>
      </c>
      <c r="G43" s="6" t="s">
        <v>131</v>
      </c>
      <c r="H43" s="6" t="s">
        <v>72</v>
      </c>
      <c r="I43" s="6" t="s">
        <v>57</v>
      </c>
    </row>
  </sheetData>
  <phoneticPr fontId="1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8"/>
  <sheetViews>
    <sheetView topLeftCell="A149" zoomScaleNormal="100" workbookViewId="0">
      <selection activeCell="F184" sqref="F184"/>
    </sheetView>
  </sheetViews>
  <sheetFormatPr baseColWidth="10" defaultColWidth="11.5" defaultRowHeight="16" x14ac:dyDescent="0.2"/>
  <cols>
    <col min="1" max="1" width="11.5" style="1"/>
    <col min="2" max="2" width="18.5" style="1" customWidth="1"/>
    <col min="3" max="4" width="11.5" style="1"/>
    <col min="5" max="5" width="16.6640625" style="1" customWidth="1"/>
    <col min="6" max="6" width="49.83203125" style="1" customWidth="1"/>
    <col min="7" max="16384" width="11.5" style="1"/>
  </cols>
  <sheetData>
    <row r="1" spans="1:6" ht="17" thickBot="1" x14ac:dyDescent="0.25">
      <c r="A1" s="6" t="s">
        <v>1</v>
      </c>
      <c r="B1" s="6" t="s">
        <v>15</v>
      </c>
      <c r="C1" s="6" t="s">
        <v>16</v>
      </c>
      <c r="D1" s="6" t="s">
        <v>5</v>
      </c>
      <c r="E1" s="6" t="s">
        <v>14</v>
      </c>
      <c r="F1" s="6" t="s">
        <v>60</v>
      </c>
    </row>
    <row r="2" spans="1:6" x14ac:dyDescent="0.2">
      <c r="A2" s="1" t="s">
        <v>49</v>
      </c>
      <c r="B2" s="3" t="s">
        <v>2</v>
      </c>
      <c r="C2" s="1" t="s">
        <v>18</v>
      </c>
      <c r="D2" s="1" t="s">
        <v>6</v>
      </c>
      <c r="E2" s="2">
        <v>9.3644281640991547E-2</v>
      </c>
      <c r="F2" s="1" t="s">
        <v>131</v>
      </c>
    </row>
    <row r="3" spans="1:6" x14ac:dyDescent="0.2">
      <c r="A3" s="1" t="s">
        <v>49</v>
      </c>
      <c r="B3" s="3" t="s">
        <v>2</v>
      </c>
      <c r="C3" s="1" t="s">
        <v>19</v>
      </c>
      <c r="D3" s="1" t="s">
        <v>6</v>
      </c>
      <c r="E3" s="2">
        <v>0.13157468412906867</v>
      </c>
      <c r="F3" s="1" t="s">
        <v>131</v>
      </c>
    </row>
    <row r="4" spans="1:6" x14ac:dyDescent="0.2">
      <c r="A4" s="1" t="s">
        <v>49</v>
      </c>
      <c r="B4" s="3" t="s">
        <v>2</v>
      </c>
      <c r="C4" s="1" t="s">
        <v>20</v>
      </c>
      <c r="D4" s="1" t="s">
        <v>8</v>
      </c>
      <c r="E4" s="2">
        <v>0.15710405556270352</v>
      </c>
      <c r="F4" s="1" t="s">
        <v>131</v>
      </c>
    </row>
    <row r="5" spans="1:6" x14ac:dyDescent="0.2">
      <c r="A5" s="1" t="s">
        <v>49</v>
      </c>
      <c r="B5" s="3" t="s">
        <v>2</v>
      </c>
      <c r="C5" s="1" t="s">
        <v>21</v>
      </c>
      <c r="D5" s="1" t="s">
        <v>8</v>
      </c>
      <c r="E5" s="2">
        <v>0.18936769611603543</v>
      </c>
      <c r="F5" s="1" t="s">
        <v>131</v>
      </c>
    </row>
    <row r="6" spans="1:6" x14ac:dyDescent="0.2">
      <c r="A6" s="1" t="s">
        <v>49</v>
      </c>
      <c r="B6" s="3" t="s">
        <v>2</v>
      </c>
      <c r="C6" s="1" t="s">
        <v>22</v>
      </c>
      <c r="D6" s="1" t="s">
        <v>7</v>
      </c>
      <c r="E6" s="2">
        <v>0.11929203056735466</v>
      </c>
      <c r="F6" s="1" t="s">
        <v>131</v>
      </c>
    </row>
    <row r="7" spans="1:6" x14ac:dyDescent="0.2">
      <c r="A7" s="1" t="s">
        <v>49</v>
      </c>
      <c r="B7" s="3" t="s">
        <v>2</v>
      </c>
      <c r="C7" s="1" t="s">
        <v>23</v>
      </c>
      <c r="D7" s="1" t="s">
        <v>7</v>
      </c>
      <c r="E7" s="2">
        <v>7.4974231492655891E-2</v>
      </c>
      <c r="F7" s="1" t="s">
        <v>131</v>
      </c>
    </row>
    <row r="8" spans="1:6" x14ac:dyDescent="0.2">
      <c r="A8" s="1" t="s">
        <v>49</v>
      </c>
      <c r="B8" s="3" t="s">
        <v>2</v>
      </c>
      <c r="C8" s="1" t="s">
        <v>28</v>
      </c>
      <c r="D8" s="1" t="s">
        <v>6</v>
      </c>
      <c r="E8" s="2">
        <v>0.23316157136312368</v>
      </c>
      <c r="F8" s="1" t="s">
        <v>131</v>
      </c>
    </row>
    <row r="9" spans="1:6" x14ac:dyDescent="0.2">
      <c r="A9" s="1" t="s">
        <v>49</v>
      </c>
      <c r="B9" s="3" t="s">
        <v>2</v>
      </c>
      <c r="C9" s="1" t="s">
        <v>29</v>
      </c>
      <c r="D9" s="1" t="s">
        <v>6</v>
      </c>
      <c r="E9" s="2">
        <v>0.11186954040691315</v>
      </c>
      <c r="F9" s="1" t="s">
        <v>131</v>
      </c>
    </row>
    <row r="10" spans="1:6" x14ac:dyDescent="0.2">
      <c r="A10" s="1" t="s">
        <v>49</v>
      </c>
      <c r="B10" s="3" t="s">
        <v>2</v>
      </c>
      <c r="C10" s="1" t="s">
        <v>24</v>
      </c>
      <c r="D10" s="1" t="s">
        <v>8</v>
      </c>
      <c r="E10" s="2">
        <v>0.14927521877178801</v>
      </c>
      <c r="F10" s="1" t="s">
        <v>131</v>
      </c>
    </row>
    <row r="11" spans="1:6" x14ac:dyDescent="0.2">
      <c r="A11" s="1" t="s">
        <v>49</v>
      </c>
      <c r="B11" s="3" t="s">
        <v>2</v>
      </c>
      <c r="C11" s="1" t="s">
        <v>30</v>
      </c>
      <c r="D11" s="1" t="s">
        <v>8</v>
      </c>
      <c r="E11" s="2">
        <v>6.449690529036263E-2</v>
      </c>
      <c r="F11" s="1" t="s">
        <v>131</v>
      </c>
    </row>
    <row r="12" spans="1:6" x14ac:dyDescent="0.2">
      <c r="A12" s="1" t="s">
        <v>49</v>
      </c>
      <c r="B12" s="3" t="s">
        <v>2</v>
      </c>
      <c r="C12" s="1" t="s">
        <v>25</v>
      </c>
      <c r="D12" s="1" t="s">
        <v>7</v>
      </c>
      <c r="E12" s="2">
        <v>2.9585515829496534E-2</v>
      </c>
      <c r="F12" s="1" t="s">
        <v>131</v>
      </c>
    </row>
    <row r="13" spans="1:6" ht="17" thickBot="1" x14ac:dyDescent="0.25">
      <c r="A13" s="6" t="s">
        <v>49</v>
      </c>
      <c r="B13" s="7" t="s">
        <v>2</v>
      </c>
      <c r="C13" s="6" t="s">
        <v>26</v>
      </c>
      <c r="D13" s="6" t="s">
        <v>7</v>
      </c>
      <c r="E13" s="8">
        <v>4.5630876973495112E-2</v>
      </c>
      <c r="F13" s="6" t="s">
        <v>131</v>
      </c>
    </row>
    <row r="14" spans="1:6" x14ac:dyDescent="0.2">
      <c r="A14" s="1" t="s">
        <v>43</v>
      </c>
      <c r="B14" s="5" t="s">
        <v>48</v>
      </c>
      <c r="C14" s="1" t="s">
        <v>18</v>
      </c>
      <c r="D14" s="1" t="s">
        <v>6</v>
      </c>
      <c r="E14" s="2">
        <v>9.3644281640991547E-2</v>
      </c>
      <c r="F14" s="3" t="s">
        <v>132</v>
      </c>
    </row>
    <row r="15" spans="1:6" x14ac:dyDescent="0.2">
      <c r="A15" s="1" t="s">
        <v>43</v>
      </c>
      <c r="B15" s="5" t="s">
        <v>48</v>
      </c>
      <c r="C15" s="1" t="s">
        <v>19</v>
      </c>
      <c r="D15" s="1" t="s">
        <v>6</v>
      </c>
      <c r="E15" s="2">
        <v>0.13157468412906867</v>
      </c>
      <c r="F15" s="3" t="s">
        <v>133</v>
      </c>
    </row>
    <row r="16" spans="1:6" x14ac:dyDescent="0.2">
      <c r="A16" s="1" t="s">
        <v>43</v>
      </c>
      <c r="B16" s="5" t="s">
        <v>48</v>
      </c>
      <c r="C16" s="1" t="s">
        <v>20</v>
      </c>
      <c r="D16" s="1" t="s">
        <v>8</v>
      </c>
      <c r="E16" s="2">
        <v>0.15710405556270352</v>
      </c>
      <c r="F16" s="3" t="s">
        <v>133</v>
      </c>
    </row>
    <row r="17" spans="1:6" x14ac:dyDescent="0.2">
      <c r="A17" s="1" t="s">
        <v>43</v>
      </c>
      <c r="B17" s="5" t="s">
        <v>48</v>
      </c>
      <c r="C17" s="1" t="s">
        <v>21</v>
      </c>
      <c r="D17" s="1" t="s">
        <v>8</v>
      </c>
      <c r="E17" s="2">
        <v>0.18936769611603543</v>
      </c>
      <c r="F17" s="3" t="s">
        <v>133</v>
      </c>
    </row>
    <row r="18" spans="1:6" x14ac:dyDescent="0.2">
      <c r="A18" s="1" t="s">
        <v>43</v>
      </c>
      <c r="B18" s="5" t="s">
        <v>48</v>
      </c>
      <c r="C18" s="1" t="s">
        <v>22</v>
      </c>
      <c r="D18" s="1" t="s">
        <v>7</v>
      </c>
      <c r="E18" s="2">
        <v>0.11929203056735466</v>
      </c>
      <c r="F18" s="3" t="s">
        <v>133</v>
      </c>
    </row>
    <row r="19" spans="1:6" x14ac:dyDescent="0.2">
      <c r="A19" s="1" t="s">
        <v>43</v>
      </c>
      <c r="B19" s="5" t="s">
        <v>48</v>
      </c>
      <c r="C19" s="1" t="s">
        <v>23</v>
      </c>
      <c r="D19" s="1" t="s">
        <v>7</v>
      </c>
      <c r="E19" s="2">
        <v>7.4974231492655891E-2</v>
      </c>
      <c r="F19" s="3" t="s">
        <v>133</v>
      </c>
    </row>
    <row r="20" spans="1:6" x14ac:dyDescent="0.2">
      <c r="A20" s="1" t="s">
        <v>43</v>
      </c>
      <c r="B20" s="5" t="s">
        <v>48</v>
      </c>
      <c r="C20" s="1" t="s">
        <v>28</v>
      </c>
      <c r="D20" s="1" t="s">
        <v>6</v>
      </c>
      <c r="E20" s="2">
        <v>0.23316157136312368</v>
      </c>
      <c r="F20" s="3" t="s">
        <v>133</v>
      </c>
    </row>
    <row r="21" spans="1:6" x14ac:dyDescent="0.2">
      <c r="A21" s="1" t="s">
        <v>43</v>
      </c>
      <c r="B21" s="5" t="s">
        <v>48</v>
      </c>
      <c r="C21" s="1" t="s">
        <v>29</v>
      </c>
      <c r="D21" s="1" t="s">
        <v>6</v>
      </c>
      <c r="E21" s="2">
        <v>0.11186954040691315</v>
      </c>
      <c r="F21" s="3" t="s">
        <v>133</v>
      </c>
    </row>
    <row r="22" spans="1:6" x14ac:dyDescent="0.2">
      <c r="A22" s="1" t="s">
        <v>43</v>
      </c>
      <c r="B22" s="5" t="s">
        <v>48</v>
      </c>
      <c r="C22" s="1" t="s">
        <v>24</v>
      </c>
      <c r="D22" s="1" t="s">
        <v>8</v>
      </c>
      <c r="E22" s="2">
        <v>0.14927521877178801</v>
      </c>
      <c r="F22" s="3" t="s">
        <v>133</v>
      </c>
    </row>
    <row r="23" spans="1:6" x14ac:dyDescent="0.2">
      <c r="A23" s="1" t="s">
        <v>43</v>
      </c>
      <c r="B23" s="5" t="s">
        <v>48</v>
      </c>
      <c r="C23" s="1" t="s">
        <v>30</v>
      </c>
      <c r="D23" s="1" t="s">
        <v>8</v>
      </c>
      <c r="E23" s="2">
        <v>6.449690529036263E-2</v>
      </c>
      <c r="F23" s="3" t="s">
        <v>133</v>
      </c>
    </row>
    <row r="24" spans="1:6" x14ac:dyDescent="0.2">
      <c r="A24" s="1" t="s">
        <v>43</v>
      </c>
      <c r="B24" s="5" t="s">
        <v>48</v>
      </c>
      <c r="C24" s="1" t="s">
        <v>25</v>
      </c>
      <c r="D24" s="1" t="s">
        <v>7</v>
      </c>
      <c r="E24" s="2">
        <v>2.9585515829496534E-2</v>
      </c>
      <c r="F24" s="3" t="s">
        <v>133</v>
      </c>
    </row>
    <row r="25" spans="1:6" ht="17" thickBot="1" x14ac:dyDescent="0.25">
      <c r="A25" s="6" t="s">
        <v>43</v>
      </c>
      <c r="B25" s="9" t="s">
        <v>48</v>
      </c>
      <c r="C25" s="6" t="s">
        <v>26</v>
      </c>
      <c r="D25" s="6" t="s">
        <v>7</v>
      </c>
      <c r="E25" s="8">
        <v>4.5630876973495112E-2</v>
      </c>
      <c r="F25" s="7" t="s">
        <v>133</v>
      </c>
    </row>
    <row r="26" spans="1:6" x14ac:dyDescent="0.2">
      <c r="A26" s="1" t="s">
        <v>50</v>
      </c>
      <c r="B26" s="3" t="s">
        <v>17</v>
      </c>
      <c r="C26" s="1" t="s">
        <v>18</v>
      </c>
      <c r="D26" s="1" t="s">
        <v>6</v>
      </c>
      <c r="E26" s="2">
        <v>9.9638917276280742E-2</v>
      </c>
      <c r="F26" s="1" t="s">
        <v>131</v>
      </c>
    </row>
    <row r="27" spans="1:6" x14ac:dyDescent="0.2">
      <c r="A27" s="1" t="s">
        <v>50</v>
      </c>
      <c r="B27" s="3" t="s">
        <v>17</v>
      </c>
      <c r="C27" s="1" t="s">
        <v>19</v>
      </c>
      <c r="D27" s="1" t="s">
        <v>6</v>
      </c>
      <c r="E27" s="2">
        <v>5.2635580841392804E-2</v>
      </c>
      <c r="F27" s="1" t="s">
        <v>131</v>
      </c>
    </row>
    <row r="28" spans="1:6" x14ac:dyDescent="0.2">
      <c r="A28" s="1" t="s">
        <v>50</v>
      </c>
      <c r="B28" s="3" t="s">
        <v>17</v>
      </c>
      <c r="C28" s="1" t="s">
        <v>20</v>
      </c>
      <c r="D28" s="1" t="s">
        <v>8</v>
      </c>
      <c r="E28" s="2">
        <v>3.7359030966181879E-2</v>
      </c>
      <c r="F28" s="1" t="s">
        <v>131</v>
      </c>
    </row>
    <row r="29" spans="1:6" x14ac:dyDescent="0.2">
      <c r="A29" s="1" t="s">
        <v>50</v>
      </c>
      <c r="B29" s="3" t="s">
        <v>17</v>
      </c>
      <c r="C29" s="1" t="s">
        <v>21</v>
      </c>
      <c r="D29" s="1" t="s">
        <v>8</v>
      </c>
      <c r="E29" s="2">
        <v>3.6399791171455781E-2</v>
      </c>
      <c r="F29" s="1" t="s">
        <v>131</v>
      </c>
    </row>
    <row r="30" spans="1:6" x14ac:dyDescent="0.2">
      <c r="A30" s="1" t="s">
        <v>50</v>
      </c>
      <c r="B30" s="3" t="s">
        <v>17</v>
      </c>
      <c r="C30" s="1" t="s">
        <v>22</v>
      </c>
      <c r="D30" s="1" t="s">
        <v>7</v>
      </c>
      <c r="E30" s="2">
        <v>0.12976670835389031</v>
      </c>
      <c r="F30" s="1" t="s">
        <v>131</v>
      </c>
    </row>
    <row r="31" spans="1:6" x14ac:dyDescent="0.2">
      <c r="A31" s="1" t="s">
        <v>50</v>
      </c>
      <c r="B31" s="3" t="s">
        <v>17</v>
      </c>
      <c r="C31" s="1" t="s">
        <v>23</v>
      </c>
      <c r="D31" s="1" t="s">
        <v>7</v>
      </c>
      <c r="E31" s="2">
        <v>0.12220840715516057</v>
      </c>
      <c r="F31" s="1" t="s">
        <v>131</v>
      </c>
    </row>
    <row r="32" spans="1:6" x14ac:dyDescent="0.2">
      <c r="A32" s="1" t="s">
        <v>50</v>
      </c>
      <c r="B32" s="3" t="s">
        <v>17</v>
      </c>
      <c r="C32" s="1" t="s">
        <v>24</v>
      </c>
      <c r="D32" s="1" t="s">
        <v>8</v>
      </c>
      <c r="E32" s="2">
        <v>4.826632975643879E-2</v>
      </c>
      <c r="F32" s="1" t="s">
        <v>131</v>
      </c>
    </row>
    <row r="33" spans="1:6" x14ac:dyDescent="0.2">
      <c r="A33" s="1" t="s">
        <v>50</v>
      </c>
      <c r="B33" s="3" t="s">
        <v>17</v>
      </c>
      <c r="C33" s="1" t="s">
        <v>25</v>
      </c>
      <c r="D33" s="1" t="s">
        <v>7</v>
      </c>
      <c r="E33" s="2">
        <v>0.13043293496227717</v>
      </c>
      <c r="F33" s="1" t="s">
        <v>131</v>
      </c>
    </row>
    <row r="34" spans="1:6" x14ac:dyDescent="0.2">
      <c r="A34" s="1" t="s">
        <v>50</v>
      </c>
      <c r="B34" s="3" t="s">
        <v>17</v>
      </c>
      <c r="C34" s="1" t="s">
        <v>26</v>
      </c>
      <c r="D34" s="1" t="s">
        <v>7</v>
      </c>
      <c r="E34" s="2">
        <v>8.4188013817999507E-2</v>
      </c>
      <c r="F34" s="1" t="s">
        <v>131</v>
      </c>
    </row>
    <row r="35" spans="1:6" x14ac:dyDescent="0.2">
      <c r="A35" s="1" t="s">
        <v>50</v>
      </c>
      <c r="B35" s="3" t="s">
        <v>27</v>
      </c>
      <c r="C35" s="1" t="s">
        <v>18</v>
      </c>
      <c r="D35" s="1" t="s">
        <v>6</v>
      </c>
      <c r="E35" s="2">
        <v>6.3634060420191291E-2</v>
      </c>
      <c r="F35" s="1" t="s">
        <v>131</v>
      </c>
    </row>
    <row r="36" spans="1:6" x14ac:dyDescent="0.2">
      <c r="A36" s="1" t="s">
        <v>50</v>
      </c>
      <c r="B36" s="3" t="s">
        <v>27</v>
      </c>
      <c r="C36" s="1" t="s">
        <v>19</v>
      </c>
      <c r="D36" s="1" t="s">
        <v>6</v>
      </c>
      <c r="E36" s="2">
        <v>7.1289108431353707E-2</v>
      </c>
      <c r="F36" s="1" t="s">
        <v>131</v>
      </c>
    </row>
    <row r="37" spans="1:6" x14ac:dyDescent="0.2">
      <c r="A37" s="1" t="s">
        <v>50</v>
      </c>
      <c r="B37" s="3" t="s">
        <v>27</v>
      </c>
      <c r="C37" s="1" t="s">
        <v>20</v>
      </c>
      <c r="D37" s="1" t="s">
        <v>8</v>
      </c>
      <c r="E37" s="2">
        <v>2.3848476719856578E-2</v>
      </c>
      <c r="F37" s="1" t="s">
        <v>131</v>
      </c>
    </row>
    <row r="38" spans="1:6" x14ac:dyDescent="0.2">
      <c r="A38" s="1" t="s">
        <v>50</v>
      </c>
      <c r="B38" s="3" t="s">
        <v>27</v>
      </c>
      <c r="C38" s="1" t="s">
        <v>21</v>
      </c>
      <c r="D38" s="1" t="s">
        <v>8</v>
      </c>
      <c r="E38" s="2">
        <v>0.11490629692294532</v>
      </c>
      <c r="F38" s="1" t="s">
        <v>131</v>
      </c>
    </row>
    <row r="39" spans="1:6" x14ac:dyDescent="0.2">
      <c r="A39" s="1" t="s">
        <v>50</v>
      </c>
      <c r="B39" s="3" t="s">
        <v>27</v>
      </c>
      <c r="C39" s="1" t="s">
        <v>22</v>
      </c>
      <c r="D39" s="1" t="s">
        <v>7</v>
      </c>
      <c r="E39" s="2">
        <v>0.1674056625854356</v>
      </c>
      <c r="F39" s="1" t="s">
        <v>131</v>
      </c>
    </row>
    <row r="40" spans="1:6" x14ac:dyDescent="0.2">
      <c r="A40" s="1" t="s">
        <v>50</v>
      </c>
      <c r="B40" s="3" t="s">
        <v>27</v>
      </c>
      <c r="C40" s="1" t="s">
        <v>23</v>
      </c>
      <c r="D40" s="1" t="s">
        <v>7</v>
      </c>
      <c r="E40" s="2">
        <v>6.6360616033439276E-2</v>
      </c>
      <c r="F40" s="1" t="s">
        <v>131</v>
      </c>
    </row>
    <row r="41" spans="1:6" x14ac:dyDescent="0.2">
      <c r="A41" s="1" t="s">
        <v>50</v>
      </c>
      <c r="B41" s="3" t="s">
        <v>27</v>
      </c>
      <c r="C41" s="1" t="s">
        <v>28</v>
      </c>
      <c r="D41" s="1" t="s">
        <v>6</v>
      </c>
      <c r="E41" s="2">
        <v>7.5421810369403181E-2</v>
      </c>
      <c r="F41" s="1" t="s">
        <v>131</v>
      </c>
    </row>
    <row r="42" spans="1:6" x14ac:dyDescent="0.2">
      <c r="A42" s="1" t="s">
        <v>50</v>
      </c>
      <c r="B42" s="3" t="s">
        <v>27</v>
      </c>
      <c r="C42" s="1" t="s">
        <v>29</v>
      </c>
      <c r="D42" s="1" t="s">
        <v>6</v>
      </c>
      <c r="E42" s="2">
        <v>7.9346174104189149E-2</v>
      </c>
      <c r="F42" s="1" t="s">
        <v>131</v>
      </c>
    </row>
    <row r="43" spans="1:6" x14ac:dyDescent="0.2">
      <c r="A43" s="1" t="s">
        <v>50</v>
      </c>
      <c r="B43" s="3" t="s">
        <v>27</v>
      </c>
      <c r="C43" s="1" t="s">
        <v>24</v>
      </c>
      <c r="D43" s="1" t="s">
        <v>8</v>
      </c>
      <c r="E43" s="2">
        <v>0.2037960737878653</v>
      </c>
      <c r="F43" s="1" t="s">
        <v>131</v>
      </c>
    </row>
    <row r="44" spans="1:6" x14ac:dyDescent="0.2">
      <c r="A44" s="1" t="s">
        <v>50</v>
      </c>
      <c r="B44" s="3" t="s">
        <v>27</v>
      </c>
      <c r="C44" s="1" t="s">
        <v>30</v>
      </c>
      <c r="D44" s="1" t="s">
        <v>8</v>
      </c>
      <c r="E44" s="2">
        <v>6.937738682140096E-2</v>
      </c>
      <c r="F44" s="1" t="s">
        <v>131</v>
      </c>
    </row>
    <row r="45" spans="1:6" x14ac:dyDescent="0.2">
      <c r="A45" s="1" t="s">
        <v>50</v>
      </c>
      <c r="B45" s="3" t="s">
        <v>27</v>
      </c>
      <c r="C45" s="1" t="s">
        <v>25</v>
      </c>
      <c r="D45" s="1" t="s">
        <v>7</v>
      </c>
      <c r="E45" s="2">
        <v>8.3282766357590896E-2</v>
      </c>
      <c r="F45" s="1" t="s">
        <v>131</v>
      </c>
    </row>
    <row r="46" spans="1:6" ht="17" thickBot="1" x14ac:dyDescent="0.25">
      <c r="A46" s="6" t="s">
        <v>50</v>
      </c>
      <c r="B46" s="7" t="s">
        <v>27</v>
      </c>
      <c r="C46" s="6" t="s">
        <v>26</v>
      </c>
      <c r="D46" s="6" t="s">
        <v>7</v>
      </c>
      <c r="E46" s="8">
        <v>9.2860580289939848E-2</v>
      </c>
      <c r="F46" s="6" t="s">
        <v>131</v>
      </c>
    </row>
    <row r="47" spans="1:6" x14ac:dyDescent="0.2">
      <c r="A47" s="1" t="s">
        <v>51</v>
      </c>
      <c r="B47" s="3" t="s">
        <v>3</v>
      </c>
      <c r="C47" s="1" t="s">
        <v>18</v>
      </c>
      <c r="D47" s="1" t="s">
        <v>6</v>
      </c>
      <c r="E47" s="2">
        <v>3.5845437076570535E-2</v>
      </c>
      <c r="F47" s="1" t="s">
        <v>131</v>
      </c>
    </row>
    <row r="48" spans="1:6" x14ac:dyDescent="0.2">
      <c r="A48" s="1" t="s">
        <v>51</v>
      </c>
      <c r="B48" s="3" t="s">
        <v>3</v>
      </c>
      <c r="C48" s="1" t="s">
        <v>19</v>
      </c>
      <c r="D48" s="1" t="s">
        <v>6</v>
      </c>
      <c r="E48" s="2">
        <v>3.6917062809385483E-2</v>
      </c>
      <c r="F48" s="1" t="s">
        <v>131</v>
      </c>
    </row>
    <row r="49" spans="1:6" x14ac:dyDescent="0.2">
      <c r="A49" s="1" t="s">
        <v>51</v>
      </c>
      <c r="B49" s="3" t="s">
        <v>3</v>
      </c>
      <c r="C49" s="1" t="s">
        <v>20</v>
      </c>
      <c r="D49" s="1" t="s">
        <v>8</v>
      </c>
      <c r="E49" s="2">
        <v>3.8054597361018593E-2</v>
      </c>
      <c r="F49" s="1" t="s">
        <v>131</v>
      </c>
    </row>
    <row r="50" spans="1:6" x14ac:dyDescent="0.2">
      <c r="A50" s="1" t="s">
        <v>51</v>
      </c>
      <c r="B50" s="3" t="s">
        <v>3</v>
      </c>
      <c r="C50" s="1" t="s">
        <v>21</v>
      </c>
      <c r="D50" s="1" t="s">
        <v>8</v>
      </c>
      <c r="E50" s="2">
        <v>4.2105078346545449E-2</v>
      </c>
      <c r="F50" s="1" t="s">
        <v>131</v>
      </c>
    </row>
    <row r="51" spans="1:6" x14ac:dyDescent="0.2">
      <c r="A51" s="1" t="s">
        <v>51</v>
      </c>
      <c r="B51" s="3" t="s">
        <v>3</v>
      </c>
      <c r="C51" s="1" t="s">
        <v>22</v>
      </c>
      <c r="D51" s="1" t="s">
        <v>7</v>
      </c>
      <c r="E51" s="2">
        <v>3.584433194890408E-2</v>
      </c>
      <c r="F51" s="1" t="s">
        <v>131</v>
      </c>
    </row>
    <row r="52" spans="1:6" x14ac:dyDescent="0.2">
      <c r="A52" s="1" t="s">
        <v>51</v>
      </c>
      <c r="B52" s="3" t="s">
        <v>3</v>
      </c>
      <c r="C52" s="1" t="s">
        <v>23</v>
      </c>
      <c r="D52" s="1" t="s">
        <v>7</v>
      </c>
      <c r="E52" s="2">
        <v>8.7622466118408085E-2</v>
      </c>
      <c r="F52" s="1" t="s">
        <v>131</v>
      </c>
    </row>
    <row r="53" spans="1:6" x14ac:dyDescent="0.2">
      <c r="A53" s="1" t="s">
        <v>51</v>
      </c>
      <c r="B53" s="3" t="s">
        <v>3</v>
      </c>
      <c r="C53" s="1" t="s">
        <v>28</v>
      </c>
      <c r="D53" s="1" t="s">
        <v>6</v>
      </c>
      <c r="E53" s="2">
        <v>3.247813039530914E-2</v>
      </c>
      <c r="F53" s="1" t="s">
        <v>131</v>
      </c>
    </row>
    <row r="54" spans="1:6" x14ac:dyDescent="0.2">
      <c r="A54" s="1" t="s">
        <v>51</v>
      </c>
      <c r="B54" s="3" t="s">
        <v>3</v>
      </c>
      <c r="C54" s="1" t="s">
        <v>29</v>
      </c>
      <c r="D54" s="1" t="s">
        <v>6</v>
      </c>
      <c r="E54" s="2">
        <v>3.5755199864178203E-2</v>
      </c>
      <c r="F54" s="1" t="s">
        <v>131</v>
      </c>
    </row>
    <row r="55" spans="1:6" x14ac:dyDescent="0.2">
      <c r="A55" s="1" t="s">
        <v>51</v>
      </c>
      <c r="B55" s="3" t="s">
        <v>3</v>
      </c>
      <c r="C55" s="1" t="s">
        <v>24</v>
      </c>
      <c r="D55" s="1" t="s">
        <v>8</v>
      </c>
      <c r="E55" s="2">
        <v>2.3503024834046638E-2</v>
      </c>
      <c r="F55" s="1" t="s">
        <v>131</v>
      </c>
    </row>
    <row r="56" spans="1:6" x14ac:dyDescent="0.2">
      <c r="A56" s="1" t="s">
        <v>51</v>
      </c>
      <c r="B56" s="3" t="s">
        <v>3</v>
      </c>
      <c r="C56" s="1" t="s">
        <v>30</v>
      </c>
      <c r="D56" s="1" t="s">
        <v>8</v>
      </c>
      <c r="E56" s="2">
        <v>1.1438381939576751E-2</v>
      </c>
      <c r="F56" s="1" t="s">
        <v>131</v>
      </c>
    </row>
    <row r="57" spans="1:6" x14ac:dyDescent="0.2">
      <c r="A57" s="1" t="s">
        <v>51</v>
      </c>
      <c r="B57" s="3" t="s">
        <v>3</v>
      </c>
      <c r="C57" s="1" t="s">
        <v>25</v>
      </c>
      <c r="D57" s="1" t="s">
        <v>7</v>
      </c>
      <c r="E57" s="2">
        <v>5.7460117204571455E-2</v>
      </c>
      <c r="F57" s="1" t="s">
        <v>131</v>
      </c>
    </row>
    <row r="58" spans="1:6" ht="17" thickBot="1" x14ac:dyDescent="0.25">
      <c r="A58" s="6" t="s">
        <v>51</v>
      </c>
      <c r="B58" s="7" t="s">
        <v>3</v>
      </c>
      <c r="C58" s="6" t="s">
        <v>26</v>
      </c>
      <c r="D58" s="6" t="s">
        <v>7</v>
      </c>
      <c r="E58" s="8">
        <v>0.13665734619620953</v>
      </c>
      <c r="F58" s="6" t="s">
        <v>131</v>
      </c>
    </row>
    <row r="59" spans="1:6" x14ac:dyDescent="0.2">
      <c r="A59" s="1" t="s">
        <v>83</v>
      </c>
      <c r="B59" s="3" t="s">
        <v>62</v>
      </c>
      <c r="C59" s="1" t="s">
        <v>18</v>
      </c>
      <c r="D59" s="1" t="s">
        <v>6</v>
      </c>
      <c r="E59" s="2">
        <v>7.0547981087796197E-2</v>
      </c>
      <c r="F59" s="1" t="s">
        <v>123</v>
      </c>
    </row>
    <row r="60" spans="1:6" x14ac:dyDescent="0.2">
      <c r="A60" s="1" t="s">
        <v>83</v>
      </c>
      <c r="B60" s="3" t="s">
        <v>62</v>
      </c>
      <c r="C60" s="1" t="s">
        <v>19</v>
      </c>
      <c r="D60" s="1" t="s">
        <v>6</v>
      </c>
      <c r="E60" s="2">
        <v>7.0547981087796197E-2</v>
      </c>
      <c r="F60" s="1" t="s">
        <v>123</v>
      </c>
    </row>
    <row r="61" spans="1:6" x14ac:dyDescent="0.2">
      <c r="A61" s="1" t="s">
        <v>83</v>
      </c>
      <c r="B61" s="3" t="s">
        <v>62</v>
      </c>
      <c r="C61" s="1" t="s">
        <v>20</v>
      </c>
      <c r="D61" s="1" t="s">
        <v>8</v>
      </c>
      <c r="E61" s="2">
        <v>9.2791381655441513E-2</v>
      </c>
      <c r="F61" s="1" t="s">
        <v>123</v>
      </c>
    </row>
    <row r="62" spans="1:6" x14ac:dyDescent="0.2">
      <c r="A62" s="1" t="s">
        <v>83</v>
      </c>
      <c r="B62" s="3" t="s">
        <v>62</v>
      </c>
      <c r="C62" s="1" t="s">
        <v>21</v>
      </c>
      <c r="D62" s="1" t="s">
        <v>8</v>
      </c>
      <c r="E62" s="2">
        <v>9.2791381655441513E-2</v>
      </c>
      <c r="F62" s="1" t="s">
        <v>123</v>
      </c>
    </row>
    <row r="63" spans="1:6" x14ac:dyDescent="0.2">
      <c r="A63" s="1" t="s">
        <v>83</v>
      </c>
      <c r="B63" s="3" t="s">
        <v>62</v>
      </c>
      <c r="C63" s="1" t="s">
        <v>22</v>
      </c>
      <c r="D63" s="1" t="s">
        <v>7</v>
      </c>
      <c r="E63" s="2">
        <v>9.2791381655441513E-2</v>
      </c>
      <c r="F63" s="1" t="s">
        <v>123</v>
      </c>
    </row>
    <row r="64" spans="1:6" x14ac:dyDescent="0.2">
      <c r="A64" s="1" t="s">
        <v>83</v>
      </c>
      <c r="B64" s="3" t="s">
        <v>62</v>
      </c>
      <c r="C64" s="1" t="s">
        <v>23</v>
      </c>
      <c r="D64" s="1" t="s">
        <v>7</v>
      </c>
      <c r="E64" s="2">
        <v>9.2791381655441513E-2</v>
      </c>
      <c r="F64" s="1" t="s">
        <v>123</v>
      </c>
    </row>
    <row r="65" spans="1:6" x14ac:dyDescent="0.2">
      <c r="A65" s="1" t="s">
        <v>83</v>
      </c>
      <c r="B65" s="3" t="s">
        <v>62</v>
      </c>
      <c r="C65" s="1" t="s">
        <v>28</v>
      </c>
      <c r="D65" s="1" t="s">
        <v>6</v>
      </c>
      <c r="E65" s="2">
        <v>7.0547981087796197E-2</v>
      </c>
      <c r="F65" s="1" t="s">
        <v>123</v>
      </c>
    </row>
    <row r="66" spans="1:6" x14ac:dyDescent="0.2">
      <c r="A66" s="1" t="s">
        <v>83</v>
      </c>
      <c r="B66" s="3" t="s">
        <v>62</v>
      </c>
      <c r="C66" s="1" t="s">
        <v>29</v>
      </c>
      <c r="D66" s="1" t="s">
        <v>6</v>
      </c>
      <c r="E66" s="2">
        <v>7.0547981087796197E-2</v>
      </c>
      <c r="F66" s="1" t="s">
        <v>123</v>
      </c>
    </row>
    <row r="67" spans="1:6" x14ac:dyDescent="0.2">
      <c r="A67" s="1" t="s">
        <v>83</v>
      </c>
      <c r="B67" s="3" t="s">
        <v>62</v>
      </c>
      <c r="C67" s="1" t="s">
        <v>24</v>
      </c>
      <c r="D67" s="1" t="s">
        <v>8</v>
      </c>
      <c r="E67" s="2">
        <v>9.2791381655441513E-2</v>
      </c>
      <c r="F67" s="1" t="s">
        <v>123</v>
      </c>
    </row>
    <row r="68" spans="1:6" x14ac:dyDescent="0.2">
      <c r="A68" s="1" t="s">
        <v>83</v>
      </c>
      <c r="B68" s="3" t="s">
        <v>62</v>
      </c>
      <c r="C68" s="1" t="s">
        <v>30</v>
      </c>
      <c r="D68" s="1" t="s">
        <v>8</v>
      </c>
      <c r="E68" s="2">
        <v>9.2791381655441513E-2</v>
      </c>
      <c r="F68" s="1" t="s">
        <v>123</v>
      </c>
    </row>
    <row r="69" spans="1:6" x14ac:dyDescent="0.2">
      <c r="A69" s="1" t="s">
        <v>83</v>
      </c>
      <c r="B69" s="3" t="s">
        <v>62</v>
      </c>
      <c r="C69" s="1" t="s">
        <v>25</v>
      </c>
      <c r="D69" s="1" t="s">
        <v>7</v>
      </c>
      <c r="E69" s="2">
        <v>9.2791381655441513E-2</v>
      </c>
      <c r="F69" s="1" t="s">
        <v>123</v>
      </c>
    </row>
    <row r="70" spans="1:6" ht="17" thickBot="1" x14ac:dyDescent="0.25">
      <c r="A70" s="6" t="s">
        <v>83</v>
      </c>
      <c r="B70" s="7" t="s">
        <v>62</v>
      </c>
      <c r="C70" s="6" t="s">
        <v>26</v>
      </c>
      <c r="D70" s="6" t="s">
        <v>7</v>
      </c>
      <c r="E70" s="8">
        <v>9.2791381655441513E-2</v>
      </c>
      <c r="F70" s="6" t="s">
        <v>123</v>
      </c>
    </row>
    <row r="71" spans="1:6" x14ac:dyDescent="0.2">
      <c r="A71" s="1" t="s">
        <v>13</v>
      </c>
      <c r="B71" s="3" t="s">
        <v>32</v>
      </c>
      <c r="C71" s="1" t="s">
        <v>18</v>
      </c>
      <c r="D71" s="1" t="s">
        <v>6</v>
      </c>
      <c r="E71" s="2">
        <v>1.5525244907441459E-2</v>
      </c>
      <c r="F71" s="1" t="s">
        <v>124</v>
      </c>
    </row>
    <row r="72" spans="1:6" x14ac:dyDescent="0.2">
      <c r="A72" s="1" t="s">
        <v>13</v>
      </c>
      <c r="B72" s="3" t="s">
        <v>32</v>
      </c>
      <c r="C72" s="1" t="s">
        <v>19</v>
      </c>
      <c r="D72" s="1" t="s">
        <v>6</v>
      </c>
      <c r="E72" s="2">
        <v>1.5525244907441459E-2</v>
      </c>
      <c r="F72" s="1" t="s">
        <v>123</v>
      </c>
    </row>
    <row r="73" spans="1:6" x14ac:dyDescent="0.2">
      <c r="A73" s="1" t="s">
        <v>13</v>
      </c>
      <c r="B73" s="3" t="s">
        <v>32</v>
      </c>
      <c r="C73" s="1" t="s">
        <v>20</v>
      </c>
      <c r="D73" s="1" t="s">
        <v>8</v>
      </c>
      <c r="E73" s="2">
        <v>1.7633288575092498E-2</v>
      </c>
      <c r="F73" s="1" t="s">
        <v>123</v>
      </c>
    </row>
    <row r="74" spans="1:6" x14ac:dyDescent="0.2">
      <c r="A74" s="1" t="s">
        <v>13</v>
      </c>
      <c r="B74" s="3" t="s">
        <v>32</v>
      </c>
      <c r="C74" s="1" t="s">
        <v>21</v>
      </c>
      <c r="D74" s="1" t="s">
        <v>8</v>
      </c>
      <c r="E74" s="2">
        <v>1.7633288575092498E-2</v>
      </c>
      <c r="F74" s="1" t="s">
        <v>123</v>
      </c>
    </row>
    <row r="75" spans="1:6" x14ac:dyDescent="0.2">
      <c r="A75" s="1" t="s">
        <v>13</v>
      </c>
      <c r="B75" s="3" t="s">
        <v>32</v>
      </c>
      <c r="C75" s="1" t="s">
        <v>22</v>
      </c>
      <c r="D75" s="1" t="s">
        <v>7</v>
      </c>
      <c r="E75" s="2">
        <v>1.7633288575092498E-2</v>
      </c>
      <c r="F75" s="1" t="s">
        <v>123</v>
      </c>
    </row>
    <row r="76" spans="1:6" x14ac:dyDescent="0.2">
      <c r="A76" s="1" t="s">
        <v>13</v>
      </c>
      <c r="B76" s="3" t="s">
        <v>32</v>
      </c>
      <c r="C76" s="1" t="s">
        <v>23</v>
      </c>
      <c r="D76" s="1" t="s">
        <v>7</v>
      </c>
      <c r="E76" s="2">
        <v>1.7633288575092498E-2</v>
      </c>
      <c r="F76" s="1" t="s">
        <v>123</v>
      </c>
    </row>
    <row r="77" spans="1:6" x14ac:dyDescent="0.2">
      <c r="A77" s="1" t="s">
        <v>13</v>
      </c>
      <c r="B77" s="3" t="s">
        <v>32</v>
      </c>
      <c r="C77" s="1" t="s">
        <v>28</v>
      </c>
      <c r="D77" s="1" t="s">
        <v>6</v>
      </c>
      <c r="E77" s="2">
        <v>1.5525244907441459E-2</v>
      </c>
      <c r="F77" s="1" t="s">
        <v>123</v>
      </c>
    </row>
    <row r="78" spans="1:6" x14ac:dyDescent="0.2">
      <c r="A78" s="1" t="s">
        <v>13</v>
      </c>
      <c r="B78" s="3" t="s">
        <v>32</v>
      </c>
      <c r="C78" s="1" t="s">
        <v>29</v>
      </c>
      <c r="D78" s="1" t="s">
        <v>6</v>
      </c>
      <c r="E78" s="2">
        <v>1.5525244907441459E-2</v>
      </c>
      <c r="F78" s="1" t="s">
        <v>123</v>
      </c>
    </row>
    <row r="79" spans="1:6" x14ac:dyDescent="0.2">
      <c r="A79" s="1" t="s">
        <v>13</v>
      </c>
      <c r="B79" s="3" t="s">
        <v>32</v>
      </c>
      <c r="C79" s="1" t="s">
        <v>24</v>
      </c>
      <c r="D79" s="1" t="s">
        <v>8</v>
      </c>
      <c r="E79" s="2">
        <v>1.7633288575092498E-2</v>
      </c>
      <c r="F79" s="1" t="s">
        <v>123</v>
      </c>
    </row>
    <row r="80" spans="1:6" x14ac:dyDescent="0.2">
      <c r="A80" s="1" t="s">
        <v>13</v>
      </c>
      <c r="B80" s="3" t="s">
        <v>32</v>
      </c>
      <c r="C80" s="1" t="s">
        <v>30</v>
      </c>
      <c r="D80" s="1" t="s">
        <v>8</v>
      </c>
      <c r="E80" s="2">
        <v>1.7633288575092498E-2</v>
      </c>
      <c r="F80" s="1" t="s">
        <v>123</v>
      </c>
    </row>
    <row r="81" spans="1:6" x14ac:dyDescent="0.2">
      <c r="A81" s="1" t="s">
        <v>13</v>
      </c>
      <c r="B81" s="3" t="s">
        <v>32</v>
      </c>
      <c r="C81" s="1" t="s">
        <v>25</v>
      </c>
      <c r="D81" s="1" t="s">
        <v>7</v>
      </c>
      <c r="E81" s="2">
        <v>1.7633288575092498E-2</v>
      </c>
      <c r="F81" s="1" t="s">
        <v>123</v>
      </c>
    </row>
    <row r="82" spans="1:6" ht="17" thickBot="1" x14ac:dyDescent="0.25">
      <c r="A82" s="6" t="s">
        <v>13</v>
      </c>
      <c r="B82" s="7" t="s">
        <v>32</v>
      </c>
      <c r="C82" s="6" t="s">
        <v>26</v>
      </c>
      <c r="D82" s="6" t="s">
        <v>7</v>
      </c>
      <c r="E82" s="8">
        <v>1.7633288575092498E-2</v>
      </c>
      <c r="F82" s="6" t="s">
        <v>123</v>
      </c>
    </row>
    <row r="83" spans="1:6" x14ac:dyDescent="0.2">
      <c r="A83" s="1" t="s">
        <v>31</v>
      </c>
      <c r="B83" s="3" t="s">
        <v>63</v>
      </c>
      <c r="C83" s="1" t="s">
        <v>18</v>
      </c>
      <c r="D83" s="1" t="s">
        <v>6</v>
      </c>
      <c r="E83" s="2">
        <v>3.6590183201458293E-2</v>
      </c>
      <c r="F83" s="1" t="s">
        <v>125</v>
      </c>
    </row>
    <row r="84" spans="1:6" x14ac:dyDescent="0.2">
      <c r="A84" s="1" t="s">
        <v>31</v>
      </c>
      <c r="B84" s="3" t="s">
        <v>63</v>
      </c>
      <c r="C84" s="1" t="s">
        <v>19</v>
      </c>
      <c r="D84" s="1" t="s">
        <v>6</v>
      </c>
      <c r="E84" s="2">
        <v>3.6590183201458293E-2</v>
      </c>
      <c r="F84" s="1" t="s">
        <v>125</v>
      </c>
    </row>
    <row r="85" spans="1:6" x14ac:dyDescent="0.2">
      <c r="A85" s="1" t="s">
        <v>31</v>
      </c>
      <c r="B85" s="3" t="s">
        <v>63</v>
      </c>
      <c r="C85" s="1" t="s">
        <v>20</v>
      </c>
      <c r="D85" s="1" t="s">
        <v>8</v>
      </c>
      <c r="E85" s="2">
        <v>5.1746333333218514E-2</v>
      </c>
      <c r="F85" s="1" t="s">
        <v>125</v>
      </c>
    </row>
    <row r="86" spans="1:6" x14ac:dyDescent="0.2">
      <c r="A86" s="1" t="s">
        <v>31</v>
      </c>
      <c r="B86" s="3" t="s">
        <v>63</v>
      </c>
      <c r="C86" s="1" t="s">
        <v>21</v>
      </c>
      <c r="D86" s="1" t="s">
        <v>8</v>
      </c>
      <c r="E86" s="2">
        <v>5.1746333333218514E-2</v>
      </c>
      <c r="F86" s="1" t="s">
        <v>125</v>
      </c>
    </row>
    <row r="87" spans="1:6" x14ac:dyDescent="0.2">
      <c r="A87" s="1" t="s">
        <v>31</v>
      </c>
      <c r="B87" s="3" t="s">
        <v>63</v>
      </c>
      <c r="C87" s="1" t="s">
        <v>22</v>
      </c>
      <c r="D87" s="1" t="s">
        <v>7</v>
      </c>
      <c r="E87" s="2">
        <v>5.1746333333218514E-2</v>
      </c>
      <c r="F87" s="1" t="s">
        <v>125</v>
      </c>
    </row>
    <row r="88" spans="1:6" x14ac:dyDescent="0.2">
      <c r="A88" s="1" t="s">
        <v>31</v>
      </c>
      <c r="B88" s="3" t="s">
        <v>63</v>
      </c>
      <c r="C88" s="1" t="s">
        <v>23</v>
      </c>
      <c r="D88" s="1" t="s">
        <v>7</v>
      </c>
      <c r="E88" s="2">
        <v>5.1746333333218514E-2</v>
      </c>
      <c r="F88" s="1" t="s">
        <v>125</v>
      </c>
    </row>
    <row r="89" spans="1:6" x14ac:dyDescent="0.2">
      <c r="A89" s="1" t="s">
        <v>31</v>
      </c>
      <c r="B89" s="3" t="s">
        <v>63</v>
      </c>
      <c r="C89" s="1" t="s">
        <v>28</v>
      </c>
      <c r="D89" s="1" t="s">
        <v>6</v>
      </c>
      <c r="E89" s="2">
        <v>3.6590183201458293E-2</v>
      </c>
      <c r="F89" s="1" t="s">
        <v>125</v>
      </c>
    </row>
    <row r="90" spans="1:6" x14ac:dyDescent="0.2">
      <c r="A90" s="1" t="s">
        <v>31</v>
      </c>
      <c r="B90" s="3" t="s">
        <v>63</v>
      </c>
      <c r="C90" s="1" t="s">
        <v>29</v>
      </c>
      <c r="D90" s="1" t="s">
        <v>6</v>
      </c>
      <c r="E90" s="2">
        <v>3.6590183201458293E-2</v>
      </c>
      <c r="F90" s="1" t="s">
        <v>125</v>
      </c>
    </row>
    <row r="91" spans="1:6" x14ac:dyDescent="0.2">
      <c r="A91" s="1" t="s">
        <v>31</v>
      </c>
      <c r="B91" s="3" t="s">
        <v>63</v>
      </c>
      <c r="C91" s="1" t="s">
        <v>24</v>
      </c>
      <c r="D91" s="1" t="s">
        <v>8</v>
      </c>
      <c r="E91" s="2">
        <v>5.1746333333218514E-2</v>
      </c>
      <c r="F91" s="1" t="s">
        <v>125</v>
      </c>
    </row>
    <row r="92" spans="1:6" x14ac:dyDescent="0.2">
      <c r="A92" s="1" t="s">
        <v>31</v>
      </c>
      <c r="B92" s="3" t="s">
        <v>63</v>
      </c>
      <c r="C92" s="1" t="s">
        <v>30</v>
      </c>
      <c r="D92" s="1" t="s">
        <v>8</v>
      </c>
      <c r="E92" s="2">
        <v>5.1746333333218514E-2</v>
      </c>
      <c r="F92" s="1" t="s">
        <v>125</v>
      </c>
    </row>
    <row r="93" spans="1:6" x14ac:dyDescent="0.2">
      <c r="A93" s="1" t="s">
        <v>31</v>
      </c>
      <c r="B93" s="3" t="s">
        <v>63</v>
      </c>
      <c r="C93" s="1" t="s">
        <v>25</v>
      </c>
      <c r="D93" s="1" t="s">
        <v>7</v>
      </c>
      <c r="E93" s="2">
        <v>5.1746333333218514E-2</v>
      </c>
      <c r="F93" s="1" t="s">
        <v>125</v>
      </c>
    </row>
    <row r="94" spans="1:6" ht="17" thickBot="1" x14ac:dyDescent="0.25">
      <c r="A94" s="6" t="s">
        <v>31</v>
      </c>
      <c r="B94" s="7" t="s">
        <v>63</v>
      </c>
      <c r="C94" s="6" t="s">
        <v>26</v>
      </c>
      <c r="D94" s="6" t="s">
        <v>7</v>
      </c>
      <c r="E94" s="8">
        <v>5.1746333333218514E-2</v>
      </c>
      <c r="F94" s="6" t="s">
        <v>125</v>
      </c>
    </row>
    <row r="95" spans="1:6" x14ac:dyDescent="0.2">
      <c r="A95" s="1" t="s">
        <v>31</v>
      </c>
      <c r="B95" s="3" t="s">
        <v>33</v>
      </c>
      <c r="C95" s="1" t="s">
        <v>18</v>
      </c>
      <c r="D95" s="1" t="s">
        <v>6</v>
      </c>
      <c r="E95" s="2">
        <v>3.6590183201458293E-2</v>
      </c>
      <c r="F95" s="1" t="s">
        <v>123</v>
      </c>
    </row>
    <row r="96" spans="1:6" x14ac:dyDescent="0.2">
      <c r="A96" s="1" t="s">
        <v>31</v>
      </c>
      <c r="B96" s="3" t="s">
        <v>33</v>
      </c>
      <c r="C96" s="1" t="s">
        <v>19</v>
      </c>
      <c r="D96" s="1" t="s">
        <v>6</v>
      </c>
      <c r="E96" s="2">
        <v>3.6590183201458293E-2</v>
      </c>
      <c r="F96" s="1" t="s">
        <v>123</v>
      </c>
    </row>
    <row r="97" spans="1:6" x14ac:dyDescent="0.2">
      <c r="A97" s="1" t="s">
        <v>31</v>
      </c>
      <c r="B97" s="3" t="s">
        <v>33</v>
      </c>
      <c r="C97" s="1" t="s">
        <v>20</v>
      </c>
      <c r="D97" s="1" t="s">
        <v>8</v>
      </c>
      <c r="E97" s="2">
        <v>5.1746333333218514E-2</v>
      </c>
      <c r="F97" s="1" t="s">
        <v>123</v>
      </c>
    </row>
    <row r="98" spans="1:6" x14ac:dyDescent="0.2">
      <c r="A98" s="1" t="s">
        <v>31</v>
      </c>
      <c r="B98" s="3" t="s">
        <v>33</v>
      </c>
      <c r="C98" s="1" t="s">
        <v>21</v>
      </c>
      <c r="D98" s="1" t="s">
        <v>8</v>
      </c>
      <c r="E98" s="2">
        <v>5.1746333333218514E-2</v>
      </c>
      <c r="F98" s="1" t="s">
        <v>123</v>
      </c>
    </row>
    <row r="99" spans="1:6" x14ac:dyDescent="0.2">
      <c r="A99" s="1" t="s">
        <v>31</v>
      </c>
      <c r="B99" s="3" t="s">
        <v>33</v>
      </c>
      <c r="C99" s="1" t="s">
        <v>22</v>
      </c>
      <c r="D99" s="1" t="s">
        <v>7</v>
      </c>
      <c r="E99" s="2">
        <v>5.1746333333218514E-2</v>
      </c>
      <c r="F99" s="1" t="s">
        <v>123</v>
      </c>
    </row>
    <row r="100" spans="1:6" x14ac:dyDescent="0.2">
      <c r="A100" s="1" t="s">
        <v>31</v>
      </c>
      <c r="B100" s="3" t="s">
        <v>33</v>
      </c>
      <c r="C100" s="1" t="s">
        <v>23</v>
      </c>
      <c r="D100" s="1" t="s">
        <v>7</v>
      </c>
      <c r="E100" s="2">
        <v>5.1746333333218514E-2</v>
      </c>
      <c r="F100" s="1" t="s">
        <v>123</v>
      </c>
    </row>
    <row r="101" spans="1:6" x14ac:dyDescent="0.2">
      <c r="A101" s="1" t="s">
        <v>31</v>
      </c>
      <c r="B101" s="3" t="s">
        <v>33</v>
      </c>
      <c r="C101" s="1" t="s">
        <v>28</v>
      </c>
      <c r="D101" s="1" t="s">
        <v>6</v>
      </c>
      <c r="E101" s="2">
        <v>3.6590183201458293E-2</v>
      </c>
      <c r="F101" s="1" t="s">
        <v>123</v>
      </c>
    </row>
    <row r="102" spans="1:6" x14ac:dyDescent="0.2">
      <c r="A102" s="1" t="s">
        <v>31</v>
      </c>
      <c r="B102" s="3" t="s">
        <v>33</v>
      </c>
      <c r="C102" s="1" t="s">
        <v>29</v>
      </c>
      <c r="D102" s="1" t="s">
        <v>6</v>
      </c>
      <c r="E102" s="2">
        <v>3.6590183201458293E-2</v>
      </c>
      <c r="F102" s="1" t="s">
        <v>123</v>
      </c>
    </row>
    <row r="103" spans="1:6" x14ac:dyDescent="0.2">
      <c r="A103" s="1" t="s">
        <v>31</v>
      </c>
      <c r="B103" s="3" t="s">
        <v>33</v>
      </c>
      <c r="C103" s="1" t="s">
        <v>24</v>
      </c>
      <c r="D103" s="1" t="s">
        <v>8</v>
      </c>
      <c r="E103" s="2">
        <v>5.1746333333218514E-2</v>
      </c>
      <c r="F103" s="1" t="s">
        <v>123</v>
      </c>
    </row>
    <row r="104" spans="1:6" x14ac:dyDescent="0.2">
      <c r="A104" s="1" t="s">
        <v>31</v>
      </c>
      <c r="B104" s="3" t="s">
        <v>33</v>
      </c>
      <c r="C104" s="1" t="s">
        <v>30</v>
      </c>
      <c r="D104" s="1" t="s">
        <v>8</v>
      </c>
      <c r="E104" s="2">
        <v>5.1746333333218514E-2</v>
      </c>
      <c r="F104" s="1" t="s">
        <v>123</v>
      </c>
    </row>
    <row r="105" spans="1:6" x14ac:dyDescent="0.2">
      <c r="A105" s="1" t="s">
        <v>31</v>
      </c>
      <c r="B105" s="3" t="s">
        <v>33</v>
      </c>
      <c r="C105" s="1" t="s">
        <v>25</v>
      </c>
      <c r="D105" s="1" t="s">
        <v>7</v>
      </c>
      <c r="E105" s="2">
        <v>5.1746333333218514E-2</v>
      </c>
      <c r="F105" s="1" t="s">
        <v>123</v>
      </c>
    </row>
    <row r="106" spans="1:6" ht="17" thickBot="1" x14ac:dyDescent="0.25">
      <c r="A106" s="6" t="s">
        <v>31</v>
      </c>
      <c r="B106" s="7" t="s">
        <v>33</v>
      </c>
      <c r="C106" s="6" t="s">
        <v>26</v>
      </c>
      <c r="D106" s="6" t="s">
        <v>7</v>
      </c>
      <c r="E106" s="8">
        <v>5.1746333333218514E-2</v>
      </c>
      <c r="F106" s="6" t="s">
        <v>123</v>
      </c>
    </row>
    <row r="107" spans="1:6" x14ac:dyDescent="0.2">
      <c r="A107" s="1" t="s">
        <v>31</v>
      </c>
      <c r="B107" s="3" t="s">
        <v>54</v>
      </c>
      <c r="C107" s="1" t="s">
        <v>18</v>
      </c>
      <c r="D107" s="1" t="s">
        <v>6</v>
      </c>
      <c r="E107" s="2">
        <v>3.6590183201458293E-2</v>
      </c>
      <c r="F107" s="1" t="s">
        <v>126</v>
      </c>
    </row>
    <row r="108" spans="1:6" x14ac:dyDescent="0.2">
      <c r="A108" s="1" t="s">
        <v>31</v>
      </c>
      <c r="B108" s="3" t="s">
        <v>54</v>
      </c>
      <c r="C108" s="1" t="s">
        <v>19</v>
      </c>
      <c r="D108" s="1" t="s">
        <v>6</v>
      </c>
      <c r="E108" s="2">
        <v>3.6590183201458293E-2</v>
      </c>
      <c r="F108" s="1" t="s">
        <v>126</v>
      </c>
    </row>
    <row r="109" spans="1:6" x14ac:dyDescent="0.2">
      <c r="A109" s="1" t="s">
        <v>31</v>
      </c>
      <c r="B109" s="3" t="s">
        <v>54</v>
      </c>
      <c r="C109" s="1" t="s">
        <v>20</v>
      </c>
      <c r="D109" s="1" t="s">
        <v>8</v>
      </c>
      <c r="E109" s="2">
        <v>5.1746333333218514E-2</v>
      </c>
      <c r="F109" s="1" t="s">
        <v>126</v>
      </c>
    </row>
    <row r="110" spans="1:6" x14ac:dyDescent="0.2">
      <c r="A110" s="1" t="s">
        <v>31</v>
      </c>
      <c r="B110" s="3" t="s">
        <v>54</v>
      </c>
      <c r="C110" s="1" t="s">
        <v>21</v>
      </c>
      <c r="D110" s="1" t="s">
        <v>8</v>
      </c>
      <c r="E110" s="2">
        <v>5.1746333333218514E-2</v>
      </c>
      <c r="F110" s="1" t="s">
        <v>126</v>
      </c>
    </row>
    <row r="111" spans="1:6" x14ac:dyDescent="0.2">
      <c r="A111" s="1" t="s">
        <v>31</v>
      </c>
      <c r="B111" s="3" t="s">
        <v>54</v>
      </c>
      <c r="C111" s="1" t="s">
        <v>22</v>
      </c>
      <c r="D111" s="1" t="s">
        <v>7</v>
      </c>
      <c r="E111" s="2">
        <v>5.1746333333218514E-2</v>
      </c>
      <c r="F111" s="1" t="s">
        <v>126</v>
      </c>
    </row>
    <row r="112" spans="1:6" x14ac:dyDescent="0.2">
      <c r="A112" s="1" t="s">
        <v>31</v>
      </c>
      <c r="B112" s="3" t="s">
        <v>54</v>
      </c>
      <c r="C112" s="1" t="s">
        <v>23</v>
      </c>
      <c r="D112" s="1" t="s">
        <v>7</v>
      </c>
      <c r="E112" s="2">
        <v>5.1746333333218514E-2</v>
      </c>
      <c r="F112" s="1" t="s">
        <v>126</v>
      </c>
    </row>
    <row r="113" spans="1:6" x14ac:dyDescent="0.2">
      <c r="A113" s="1" t="s">
        <v>31</v>
      </c>
      <c r="B113" s="3" t="s">
        <v>54</v>
      </c>
      <c r="C113" s="1" t="s">
        <v>28</v>
      </c>
      <c r="D113" s="1" t="s">
        <v>6</v>
      </c>
      <c r="E113" s="2">
        <v>3.6590183201458293E-2</v>
      </c>
      <c r="F113" s="1" t="s">
        <v>126</v>
      </c>
    </row>
    <row r="114" spans="1:6" x14ac:dyDescent="0.2">
      <c r="A114" s="1" t="s">
        <v>31</v>
      </c>
      <c r="B114" s="3" t="s">
        <v>54</v>
      </c>
      <c r="C114" s="1" t="s">
        <v>29</v>
      </c>
      <c r="D114" s="1" t="s">
        <v>6</v>
      </c>
      <c r="E114" s="2">
        <v>3.6590183201458293E-2</v>
      </c>
      <c r="F114" s="1" t="s">
        <v>126</v>
      </c>
    </row>
    <row r="115" spans="1:6" x14ac:dyDescent="0.2">
      <c r="A115" s="1" t="s">
        <v>31</v>
      </c>
      <c r="B115" s="3" t="s">
        <v>54</v>
      </c>
      <c r="C115" s="1" t="s">
        <v>24</v>
      </c>
      <c r="D115" s="1" t="s">
        <v>8</v>
      </c>
      <c r="E115" s="2">
        <v>5.1746333333218514E-2</v>
      </c>
      <c r="F115" s="1" t="s">
        <v>126</v>
      </c>
    </row>
    <row r="116" spans="1:6" x14ac:dyDescent="0.2">
      <c r="A116" s="1" t="s">
        <v>31</v>
      </c>
      <c r="B116" s="3" t="s">
        <v>54</v>
      </c>
      <c r="C116" s="1" t="s">
        <v>30</v>
      </c>
      <c r="D116" s="1" t="s">
        <v>8</v>
      </c>
      <c r="E116" s="2">
        <v>5.1746333333218514E-2</v>
      </c>
      <c r="F116" s="1" t="s">
        <v>126</v>
      </c>
    </row>
    <row r="117" spans="1:6" x14ac:dyDescent="0.2">
      <c r="A117" s="1" t="s">
        <v>31</v>
      </c>
      <c r="B117" s="3" t="s">
        <v>54</v>
      </c>
      <c r="C117" s="1" t="s">
        <v>25</v>
      </c>
      <c r="D117" s="1" t="s">
        <v>7</v>
      </c>
      <c r="E117" s="2">
        <v>5.1746333333218514E-2</v>
      </c>
      <c r="F117" s="1" t="s">
        <v>126</v>
      </c>
    </row>
    <row r="118" spans="1:6" ht="17" thickBot="1" x14ac:dyDescent="0.25">
      <c r="A118" s="6" t="s">
        <v>31</v>
      </c>
      <c r="B118" s="7" t="s">
        <v>54</v>
      </c>
      <c r="C118" s="6" t="s">
        <v>26</v>
      </c>
      <c r="D118" s="6" t="s">
        <v>7</v>
      </c>
      <c r="E118" s="8">
        <v>5.1746333333218514E-2</v>
      </c>
      <c r="F118" s="6" t="s">
        <v>126</v>
      </c>
    </row>
    <row r="119" spans="1:6" x14ac:dyDescent="0.2">
      <c r="A119" s="1" t="s">
        <v>35</v>
      </c>
      <c r="B119" s="3" t="s">
        <v>61</v>
      </c>
      <c r="C119" s="1" t="s">
        <v>18</v>
      </c>
      <c r="D119" s="1" t="s">
        <v>6</v>
      </c>
      <c r="E119" s="13">
        <v>5.1240554672600636E-2</v>
      </c>
      <c r="F119" s="1" t="s">
        <v>123</v>
      </c>
    </row>
    <row r="120" spans="1:6" x14ac:dyDescent="0.2">
      <c r="A120" s="1" t="s">
        <v>35</v>
      </c>
      <c r="B120" s="3" t="s">
        <v>61</v>
      </c>
      <c r="C120" s="1" t="s">
        <v>19</v>
      </c>
      <c r="D120" s="1" t="s">
        <v>6</v>
      </c>
      <c r="E120" s="13">
        <v>5.1240554672600636E-2</v>
      </c>
      <c r="F120" s="1" t="s">
        <v>123</v>
      </c>
    </row>
    <row r="121" spans="1:6" x14ac:dyDescent="0.2">
      <c r="A121" s="1" t="s">
        <v>35</v>
      </c>
      <c r="B121" s="3" t="s">
        <v>61</v>
      </c>
      <c r="C121" s="1" t="s">
        <v>20</v>
      </c>
      <c r="D121" s="1" t="s">
        <v>8</v>
      </c>
      <c r="E121" s="2">
        <v>7.9381525958965166E-2</v>
      </c>
      <c r="F121" s="1" t="s">
        <v>123</v>
      </c>
    </row>
    <row r="122" spans="1:6" x14ac:dyDescent="0.2">
      <c r="A122" s="1" t="s">
        <v>35</v>
      </c>
      <c r="B122" s="3" t="s">
        <v>61</v>
      </c>
      <c r="C122" s="1" t="s">
        <v>21</v>
      </c>
      <c r="D122" s="1" t="s">
        <v>8</v>
      </c>
      <c r="E122" s="2">
        <v>7.9381525958965166E-2</v>
      </c>
      <c r="F122" s="1" t="s">
        <v>123</v>
      </c>
    </row>
    <row r="123" spans="1:6" x14ac:dyDescent="0.2">
      <c r="A123" s="1" t="s">
        <v>35</v>
      </c>
      <c r="B123" s="3" t="s">
        <v>61</v>
      </c>
      <c r="C123" s="1" t="s">
        <v>22</v>
      </c>
      <c r="D123" s="1" t="s">
        <v>7</v>
      </c>
      <c r="E123" s="2">
        <v>7.9381525958965166E-2</v>
      </c>
      <c r="F123" s="1" t="s">
        <v>123</v>
      </c>
    </row>
    <row r="124" spans="1:6" x14ac:dyDescent="0.2">
      <c r="A124" s="1" t="s">
        <v>35</v>
      </c>
      <c r="B124" s="3" t="s">
        <v>61</v>
      </c>
      <c r="C124" s="1" t="s">
        <v>23</v>
      </c>
      <c r="D124" s="1" t="s">
        <v>7</v>
      </c>
      <c r="E124" s="2">
        <v>7.9381525958965166E-2</v>
      </c>
      <c r="F124" s="1" t="s">
        <v>123</v>
      </c>
    </row>
    <row r="125" spans="1:6" x14ac:dyDescent="0.2">
      <c r="A125" s="1" t="s">
        <v>35</v>
      </c>
      <c r="B125" s="3" t="s">
        <v>61</v>
      </c>
      <c r="C125" s="1" t="s">
        <v>28</v>
      </c>
      <c r="D125" s="1" t="s">
        <v>6</v>
      </c>
      <c r="E125" s="13">
        <v>5.1240554672600636E-2</v>
      </c>
      <c r="F125" s="1" t="s">
        <v>123</v>
      </c>
    </row>
    <row r="126" spans="1:6" x14ac:dyDescent="0.2">
      <c r="A126" s="1" t="s">
        <v>35</v>
      </c>
      <c r="B126" s="3" t="s">
        <v>61</v>
      </c>
      <c r="C126" s="1" t="s">
        <v>29</v>
      </c>
      <c r="D126" s="1" t="s">
        <v>6</v>
      </c>
      <c r="E126" s="13">
        <v>5.1240554672600636E-2</v>
      </c>
      <c r="F126" s="1" t="s">
        <v>123</v>
      </c>
    </row>
    <row r="127" spans="1:6" x14ac:dyDescent="0.2">
      <c r="A127" s="1" t="s">
        <v>35</v>
      </c>
      <c r="B127" s="3" t="s">
        <v>61</v>
      </c>
      <c r="C127" s="1" t="s">
        <v>24</v>
      </c>
      <c r="D127" s="1" t="s">
        <v>8</v>
      </c>
      <c r="E127" s="2">
        <v>7.9381525958965166E-2</v>
      </c>
      <c r="F127" s="1" t="s">
        <v>123</v>
      </c>
    </row>
    <row r="128" spans="1:6" x14ac:dyDescent="0.2">
      <c r="A128" s="1" t="s">
        <v>35</v>
      </c>
      <c r="B128" s="3" t="s">
        <v>61</v>
      </c>
      <c r="C128" s="1" t="s">
        <v>30</v>
      </c>
      <c r="D128" s="1" t="s">
        <v>8</v>
      </c>
      <c r="E128" s="2">
        <v>7.9381525958965166E-2</v>
      </c>
      <c r="F128" s="1" t="s">
        <v>123</v>
      </c>
    </row>
    <row r="129" spans="1:6" x14ac:dyDescent="0.2">
      <c r="A129" s="1" t="s">
        <v>35</v>
      </c>
      <c r="B129" s="3" t="s">
        <v>61</v>
      </c>
      <c r="C129" s="1" t="s">
        <v>25</v>
      </c>
      <c r="D129" s="1" t="s">
        <v>7</v>
      </c>
      <c r="E129" s="2">
        <v>7.9381525958965166E-2</v>
      </c>
      <c r="F129" s="1" t="s">
        <v>123</v>
      </c>
    </row>
    <row r="130" spans="1:6" ht="17" thickBot="1" x14ac:dyDescent="0.25">
      <c r="A130" s="6" t="s">
        <v>35</v>
      </c>
      <c r="B130" s="7" t="s">
        <v>61</v>
      </c>
      <c r="C130" s="6" t="s">
        <v>26</v>
      </c>
      <c r="D130" s="6" t="s">
        <v>7</v>
      </c>
      <c r="E130" s="8">
        <v>7.9381525958965166E-2</v>
      </c>
      <c r="F130" s="6" t="s">
        <v>123</v>
      </c>
    </row>
    <row r="131" spans="1:6" x14ac:dyDescent="0.2">
      <c r="A131" s="1" t="s">
        <v>35</v>
      </c>
      <c r="B131" s="4" t="s">
        <v>70</v>
      </c>
      <c r="C131" s="1" t="s">
        <v>18</v>
      </c>
      <c r="D131" s="1" t="s">
        <v>6</v>
      </c>
      <c r="E131" s="13">
        <v>5.1240554672600636E-2</v>
      </c>
      <c r="F131" s="1" t="s">
        <v>127</v>
      </c>
    </row>
    <row r="132" spans="1:6" x14ac:dyDescent="0.2">
      <c r="A132" s="1" t="s">
        <v>35</v>
      </c>
      <c r="B132" s="4" t="s">
        <v>70</v>
      </c>
      <c r="C132" s="1" t="s">
        <v>19</v>
      </c>
      <c r="D132" s="1" t="s">
        <v>6</v>
      </c>
      <c r="E132" s="13">
        <v>5.1240554672600636E-2</v>
      </c>
      <c r="F132" s="1" t="s">
        <v>127</v>
      </c>
    </row>
    <row r="133" spans="1:6" x14ac:dyDescent="0.2">
      <c r="A133" s="1" t="s">
        <v>35</v>
      </c>
      <c r="B133" s="4" t="s">
        <v>70</v>
      </c>
      <c r="C133" s="1" t="s">
        <v>20</v>
      </c>
      <c r="D133" s="1" t="s">
        <v>8</v>
      </c>
      <c r="E133" s="2">
        <v>7.9381525958965166E-2</v>
      </c>
      <c r="F133" s="1" t="s">
        <v>127</v>
      </c>
    </row>
    <row r="134" spans="1:6" x14ac:dyDescent="0.2">
      <c r="A134" s="1" t="s">
        <v>35</v>
      </c>
      <c r="B134" s="4" t="s">
        <v>70</v>
      </c>
      <c r="C134" s="1" t="s">
        <v>21</v>
      </c>
      <c r="D134" s="1" t="s">
        <v>8</v>
      </c>
      <c r="E134" s="2">
        <v>7.9381525958965166E-2</v>
      </c>
      <c r="F134" s="1" t="s">
        <v>127</v>
      </c>
    </row>
    <row r="135" spans="1:6" x14ac:dyDescent="0.2">
      <c r="A135" s="1" t="s">
        <v>35</v>
      </c>
      <c r="B135" s="4" t="s">
        <v>70</v>
      </c>
      <c r="C135" s="1" t="s">
        <v>22</v>
      </c>
      <c r="D135" s="1" t="s">
        <v>7</v>
      </c>
      <c r="E135" s="2">
        <v>7.9381525958965166E-2</v>
      </c>
      <c r="F135" s="1" t="s">
        <v>127</v>
      </c>
    </row>
    <row r="136" spans="1:6" x14ac:dyDescent="0.2">
      <c r="A136" s="1" t="s">
        <v>35</v>
      </c>
      <c r="B136" s="4" t="s">
        <v>70</v>
      </c>
      <c r="C136" s="1" t="s">
        <v>23</v>
      </c>
      <c r="D136" s="1" t="s">
        <v>7</v>
      </c>
      <c r="E136" s="2">
        <v>7.9381525958965166E-2</v>
      </c>
      <c r="F136" s="1" t="s">
        <v>127</v>
      </c>
    </row>
    <row r="137" spans="1:6" x14ac:dyDescent="0.2">
      <c r="A137" s="1" t="s">
        <v>35</v>
      </c>
      <c r="B137" s="4" t="s">
        <v>70</v>
      </c>
      <c r="C137" s="1" t="s">
        <v>28</v>
      </c>
      <c r="D137" s="1" t="s">
        <v>6</v>
      </c>
      <c r="E137" s="13">
        <v>5.1240554672600636E-2</v>
      </c>
      <c r="F137" s="1" t="s">
        <v>127</v>
      </c>
    </row>
    <row r="138" spans="1:6" x14ac:dyDescent="0.2">
      <c r="A138" s="1" t="s">
        <v>35</v>
      </c>
      <c r="B138" s="4" t="s">
        <v>70</v>
      </c>
      <c r="C138" s="1" t="s">
        <v>29</v>
      </c>
      <c r="D138" s="1" t="s">
        <v>6</v>
      </c>
      <c r="E138" s="13">
        <v>5.1240554672600636E-2</v>
      </c>
      <c r="F138" s="1" t="s">
        <v>127</v>
      </c>
    </row>
    <row r="139" spans="1:6" x14ac:dyDescent="0.2">
      <c r="A139" s="1" t="s">
        <v>35</v>
      </c>
      <c r="B139" s="4" t="s">
        <v>70</v>
      </c>
      <c r="C139" s="1" t="s">
        <v>24</v>
      </c>
      <c r="D139" s="1" t="s">
        <v>8</v>
      </c>
      <c r="E139" s="2">
        <v>7.9381525958965166E-2</v>
      </c>
      <c r="F139" s="1" t="s">
        <v>127</v>
      </c>
    </row>
    <row r="140" spans="1:6" x14ac:dyDescent="0.2">
      <c r="A140" s="1" t="s">
        <v>35</v>
      </c>
      <c r="B140" s="4" t="s">
        <v>70</v>
      </c>
      <c r="C140" s="1" t="s">
        <v>30</v>
      </c>
      <c r="D140" s="1" t="s">
        <v>8</v>
      </c>
      <c r="E140" s="2">
        <v>7.9381525958965166E-2</v>
      </c>
      <c r="F140" s="1" t="s">
        <v>127</v>
      </c>
    </row>
    <row r="141" spans="1:6" x14ac:dyDescent="0.2">
      <c r="A141" s="1" t="s">
        <v>35</v>
      </c>
      <c r="B141" s="4" t="s">
        <v>70</v>
      </c>
      <c r="C141" s="1" t="s">
        <v>25</v>
      </c>
      <c r="D141" s="1" t="s">
        <v>7</v>
      </c>
      <c r="E141" s="2">
        <v>7.9381525958965166E-2</v>
      </c>
      <c r="F141" s="1" t="s">
        <v>127</v>
      </c>
    </row>
    <row r="142" spans="1:6" ht="17" thickBot="1" x14ac:dyDescent="0.25">
      <c r="A142" s="6" t="s">
        <v>35</v>
      </c>
      <c r="B142" s="11" t="s">
        <v>70</v>
      </c>
      <c r="C142" s="6" t="s">
        <v>26</v>
      </c>
      <c r="D142" s="6" t="s">
        <v>7</v>
      </c>
      <c r="E142" s="8">
        <v>7.9381525958965166E-2</v>
      </c>
      <c r="F142" s="6" t="s">
        <v>127</v>
      </c>
    </row>
    <row r="143" spans="1:6" x14ac:dyDescent="0.2">
      <c r="A143" s="1" t="s">
        <v>34</v>
      </c>
      <c r="B143" s="3" t="s">
        <v>65</v>
      </c>
      <c r="C143" s="1" t="s">
        <v>18</v>
      </c>
      <c r="D143" s="1" t="s">
        <v>6</v>
      </c>
      <c r="E143" s="2">
        <v>9.4283937878447285E-2</v>
      </c>
      <c r="F143" s="1" t="s">
        <v>123</v>
      </c>
    </row>
    <row r="144" spans="1:6" x14ac:dyDescent="0.2">
      <c r="A144" s="1" t="s">
        <v>34</v>
      </c>
      <c r="B144" s="3" t="s">
        <v>65</v>
      </c>
      <c r="C144" s="1" t="s">
        <v>19</v>
      </c>
      <c r="D144" s="1" t="s">
        <v>6</v>
      </c>
      <c r="E144" s="2">
        <v>9.4283937878447285E-2</v>
      </c>
      <c r="F144" s="1" t="s">
        <v>123</v>
      </c>
    </row>
    <row r="145" spans="1:6" x14ac:dyDescent="0.2">
      <c r="A145" s="1" t="s">
        <v>34</v>
      </c>
      <c r="B145" s="3" t="s">
        <v>65</v>
      </c>
      <c r="C145" s="1" t="s">
        <v>20</v>
      </c>
      <c r="D145" s="1" t="s">
        <v>8</v>
      </c>
      <c r="E145" s="2">
        <v>0.14575943074484721</v>
      </c>
      <c r="F145" s="1" t="s">
        <v>123</v>
      </c>
    </row>
    <row r="146" spans="1:6" x14ac:dyDescent="0.2">
      <c r="A146" s="1" t="s">
        <v>34</v>
      </c>
      <c r="B146" s="3" t="s">
        <v>65</v>
      </c>
      <c r="C146" s="1" t="s">
        <v>21</v>
      </c>
      <c r="D146" s="1" t="s">
        <v>8</v>
      </c>
      <c r="E146" s="2">
        <v>0.14575943074484721</v>
      </c>
      <c r="F146" s="1" t="s">
        <v>123</v>
      </c>
    </row>
    <row r="147" spans="1:6" x14ac:dyDescent="0.2">
      <c r="A147" s="1" t="s">
        <v>34</v>
      </c>
      <c r="B147" s="3" t="s">
        <v>65</v>
      </c>
      <c r="C147" s="1" t="s">
        <v>22</v>
      </c>
      <c r="D147" s="1" t="s">
        <v>7</v>
      </c>
      <c r="E147" s="2">
        <v>0.14575943074484721</v>
      </c>
      <c r="F147" s="1" t="s">
        <v>123</v>
      </c>
    </row>
    <row r="148" spans="1:6" x14ac:dyDescent="0.2">
      <c r="A148" s="1" t="s">
        <v>34</v>
      </c>
      <c r="B148" s="3" t="s">
        <v>65</v>
      </c>
      <c r="C148" s="1" t="s">
        <v>23</v>
      </c>
      <c r="D148" s="1" t="s">
        <v>7</v>
      </c>
      <c r="E148" s="2">
        <v>0.14575943074484721</v>
      </c>
      <c r="F148" s="1" t="s">
        <v>123</v>
      </c>
    </row>
    <row r="149" spans="1:6" x14ac:dyDescent="0.2">
      <c r="A149" s="1" t="s">
        <v>34</v>
      </c>
      <c r="B149" s="3" t="s">
        <v>65</v>
      </c>
      <c r="C149" s="1" t="s">
        <v>28</v>
      </c>
      <c r="D149" s="1" t="s">
        <v>6</v>
      </c>
      <c r="E149" s="2">
        <v>9.4283937878447285E-2</v>
      </c>
      <c r="F149" s="1" t="s">
        <v>123</v>
      </c>
    </row>
    <row r="150" spans="1:6" x14ac:dyDescent="0.2">
      <c r="A150" s="1" t="s">
        <v>34</v>
      </c>
      <c r="B150" s="3" t="s">
        <v>65</v>
      </c>
      <c r="C150" s="1" t="s">
        <v>29</v>
      </c>
      <c r="D150" s="1" t="s">
        <v>6</v>
      </c>
      <c r="E150" s="2">
        <v>9.4283937878447285E-2</v>
      </c>
      <c r="F150" s="1" t="s">
        <v>123</v>
      </c>
    </row>
    <row r="151" spans="1:6" x14ac:dyDescent="0.2">
      <c r="A151" s="1" t="s">
        <v>34</v>
      </c>
      <c r="B151" s="3" t="s">
        <v>65</v>
      </c>
      <c r="C151" s="1" t="s">
        <v>24</v>
      </c>
      <c r="D151" s="1" t="s">
        <v>8</v>
      </c>
      <c r="E151" s="2">
        <v>0.14575943074484721</v>
      </c>
      <c r="F151" s="1" t="s">
        <v>123</v>
      </c>
    </row>
    <row r="152" spans="1:6" x14ac:dyDescent="0.2">
      <c r="A152" s="1" t="s">
        <v>34</v>
      </c>
      <c r="B152" s="3" t="s">
        <v>65</v>
      </c>
      <c r="C152" s="1" t="s">
        <v>30</v>
      </c>
      <c r="D152" s="1" t="s">
        <v>8</v>
      </c>
      <c r="E152" s="2">
        <v>0.14575943074484721</v>
      </c>
      <c r="F152" s="1" t="s">
        <v>123</v>
      </c>
    </row>
    <row r="153" spans="1:6" x14ac:dyDescent="0.2">
      <c r="A153" s="1" t="s">
        <v>34</v>
      </c>
      <c r="B153" s="3" t="s">
        <v>65</v>
      </c>
      <c r="C153" s="1" t="s">
        <v>25</v>
      </c>
      <c r="D153" s="1" t="s">
        <v>7</v>
      </c>
      <c r="E153" s="2">
        <v>0.14575943074484721</v>
      </c>
      <c r="F153" s="1" t="s">
        <v>123</v>
      </c>
    </row>
    <row r="154" spans="1:6" ht="17" thickBot="1" x14ac:dyDescent="0.25">
      <c r="A154" s="6" t="s">
        <v>34</v>
      </c>
      <c r="B154" s="7" t="s">
        <v>65</v>
      </c>
      <c r="C154" s="6" t="s">
        <v>26</v>
      </c>
      <c r="D154" s="6" t="s">
        <v>7</v>
      </c>
      <c r="E154" s="8">
        <v>0.14575943074484721</v>
      </c>
      <c r="F154" s="6" t="s">
        <v>123</v>
      </c>
    </row>
    <row r="155" spans="1:6" x14ac:dyDescent="0.2">
      <c r="A155" s="4" t="s">
        <v>34</v>
      </c>
      <c r="B155" s="5" t="s">
        <v>53</v>
      </c>
      <c r="C155" s="1" t="s">
        <v>18</v>
      </c>
      <c r="D155" s="1" t="s">
        <v>6</v>
      </c>
      <c r="E155" s="2">
        <v>9.5189908813751153E-2</v>
      </c>
      <c r="F155" s="1" t="s">
        <v>104</v>
      </c>
    </row>
    <row r="156" spans="1:6" x14ac:dyDescent="0.2">
      <c r="A156" s="1" t="s">
        <v>34</v>
      </c>
      <c r="B156" s="3" t="s">
        <v>53</v>
      </c>
      <c r="C156" s="1" t="s">
        <v>19</v>
      </c>
      <c r="D156" s="1" t="s">
        <v>6</v>
      </c>
      <c r="E156" s="2">
        <v>9.5189908813751153E-2</v>
      </c>
      <c r="F156" s="1" t="s">
        <v>104</v>
      </c>
    </row>
    <row r="157" spans="1:6" x14ac:dyDescent="0.2">
      <c r="A157" s="1" t="s">
        <v>34</v>
      </c>
      <c r="B157" s="3" t="s">
        <v>53</v>
      </c>
      <c r="C157" s="1" t="s">
        <v>20</v>
      </c>
      <c r="D157" s="1" t="s">
        <v>8</v>
      </c>
      <c r="E157" s="2">
        <v>0.15080917756332121</v>
      </c>
      <c r="F157" s="1" t="s">
        <v>104</v>
      </c>
    </row>
    <row r="158" spans="1:6" x14ac:dyDescent="0.2">
      <c r="A158" s="1" t="s">
        <v>34</v>
      </c>
      <c r="B158" s="3" t="s">
        <v>53</v>
      </c>
      <c r="C158" s="1" t="s">
        <v>21</v>
      </c>
      <c r="D158" s="1" t="s">
        <v>8</v>
      </c>
      <c r="E158" s="2">
        <v>0.15080917756332121</v>
      </c>
      <c r="F158" s="1" t="s">
        <v>104</v>
      </c>
    </row>
    <row r="159" spans="1:6" x14ac:dyDescent="0.2">
      <c r="A159" s="4" t="s">
        <v>34</v>
      </c>
      <c r="B159" s="5" t="s">
        <v>53</v>
      </c>
      <c r="C159" s="1" t="s">
        <v>22</v>
      </c>
      <c r="D159" s="1" t="s">
        <v>7</v>
      </c>
      <c r="E159" s="2">
        <v>0.15080917756332121</v>
      </c>
      <c r="F159" s="1" t="s">
        <v>104</v>
      </c>
    </row>
    <row r="160" spans="1:6" x14ac:dyDescent="0.2">
      <c r="A160" s="1" t="s">
        <v>34</v>
      </c>
      <c r="B160" s="3" t="s">
        <v>53</v>
      </c>
      <c r="C160" s="1" t="s">
        <v>23</v>
      </c>
      <c r="D160" s="1" t="s">
        <v>7</v>
      </c>
      <c r="E160" s="2">
        <v>0.15080917756332121</v>
      </c>
      <c r="F160" s="1" t="s">
        <v>104</v>
      </c>
    </row>
    <row r="161" spans="1:6" x14ac:dyDescent="0.2">
      <c r="A161" s="1" t="s">
        <v>34</v>
      </c>
      <c r="B161" s="3" t="s">
        <v>53</v>
      </c>
      <c r="C161" s="1" t="s">
        <v>28</v>
      </c>
      <c r="D161" s="1" t="s">
        <v>6</v>
      </c>
      <c r="E161" s="2">
        <v>9.5189908813751153E-2</v>
      </c>
      <c r="F161" s="1" t="s">
        <v>104</v>
      </c>
    </row>
    <row r="162" spans="1:6" x14ac:dyDescent="0.2">
      <c r="A162" s="1" t="s">
        <v>34</v>
      </c>
      <c r="B162" s="3" t="s">
        <v>53</v>
      </c>
      <c r="C162" s="1" t="s">
        <v>29</v>
      </c>
      <c r="D162" s="1" t="s">
        <v>6</v>
      </c>
      <c r="E162" s="2">
        <v>9.5189908813751153E-2</v>
      </c>
      <c r="F162" s="1" t="s">
        <v>104</v>
      </c>
    </row>
    <row r="163" spans="1:6" x14ac:dyDescent="0.2">
      <c r="A163" s="4" t="s">
        <v>34</v>
      </c>
      <c r="B163" s="5" t="s">
        <v>53</v>
      </c>
      <c r="C163" s="1" t="s">
        <v>24</v>
      </c>
      <c r="D163" s="1" t="s">
        <v>8</v>
      </c>
      <c r="E163" s="2">
        <v>0.15080917756332121</v>
      </c>
      <c r="F163" s="1" t="s">
        <v>104</v>
      </c>
    </row>
    <row r="164" spans="1:6" x14ac:dyDescent="0.2">
      <c r="A164" s="1" t="s">
        <v>34</v>
      </c>
      <c r="B164" s="3" t="s">
        <v>53</v>
      </c>
      <c r="C164" s="1" t="s">
        <v>30</v>
      </c>
      <c r="D164" s="1" t="s">
        <v>8</v>
      </c>
      <c r="E164" s="2">
        <v>0.15080917756332121</v>
      </c>
      <c r="F164" s="1" t="s">
        <v>104</v>
      </c>
    </row>
    <row r="165" spans="1:6" x14ac:dyDescent="0.2">
      <c r="A165" s="1" t="s">
        <v>34</v>
      </c>
      <c r="B165" s="3" t="s">
        <v>53</v>
      </c>
      <c r="C165" s="1" t="s">
        <v>25</v>
      </c>
      <c r="D165" s="1" t="s">
        <v>7</v>
      </c>
      <c r="E165" s="2">
        <v>0.15080917756332121</v>
      </c>
      <c r="F165" s="1" t="s">
        <v>104</v>
      </c>
    </row>
    <row r="166" spans="1:6" ht="17" thickBot="1" x14ac:dyDescent="0.25">
      <c r="A166" s="6" t="s">
        <v>34</v>
      </c>
      <c r="B166" s="7" t="s">
        <v>53</v>
      </c>
      <c r="C166" s="6" t="s">
        <v>26</v>
      </c>
      <c r="D166" s="6" t="s">
        <v>7</v>
      </c>
      <c r="E166" s="8">
        <v>0.15080917756332121</v>
      </c>
      <c r="F166" s="6" t="s">
        <v>104</v>
      </c>
    </row>
    <row r="167" spans="1:6" x14ac:dyDescent="0.2">
      <c r="A167" s="1" t="s">
        <v>34</v>
      </c>
      <c r="B167" s="3" t="s">
        <v>52</v>
      </c>
      <c r="C167" s="1" t="s">
        <v>18</v>
      </c>
      <c r="D167" s="1" t="s">
        <v>6</v>
      </c>
      <c r="E167" s="2">
        <v>1.5556081183693208E-2</v>
      </c>
      <c r="F167" s="1" t="s">
        <v>123</v>
      </c>
    </row>
    <row r="168" spans="1:6" x14ac:dyDescent="0.2">
      <c r="A168" s="1" t="s">
        <v>34</v>
      </c>
      <c r="B168" s="3" t="s">
        <v>52</v>
      </c>
      <c r="C168" s="1" t="s">
        <v>19</v>
      </c>
      <c r="D168" s="1" t="s">
        <v>6</v>
      </c>
      <c r="E168" s="2">
        <v>1.5556081183693208E-2</v>
      </c>
      <c r="F168" s="1" t="s">
        <v>123</v>
      </c>
    </row>
    <row r="169" spans="1:6" x14ac:dyDescent="0.2">
      <c r="A169" s="1" t="s">
        <v>34</v>
      </c>
      <c r="B169" s="3" t="s">
        <v>52</v>
      </c>
      <c r="C169" s="1" t="s">
        <v>20</v>
      </c>
      <c r="D169" s="1" t="s">
        <v>8</v>
      </c>
      <c r="E169" s="2">
        <v>1.9921504093355809E-2</v>
      </c>
      <c r="F169" s="1" t="s">
        <v>123</v>
      </c>
    </row>
    <row r="170" spans="1:6" x14ac:dyDescent="0.2">
      <c r="A170" s="1" t="s">
        <v>34</v>
      </c>
      <c r="B170" s="3" t="s">
        <v>52</v>
      </c>
      <c r="C170" s="1" t="s">
        <v>21</v>
      </c>
      <c r="D170" s="1" t="s">
        <v>8</v>
      </c>
      <c r="E170" s="2">
        <v>1.9921504093355809E-2</v>
      </c>
      <c r="F170" s="1" t="s">
        <v>123</v>
      </c>
    </row>
    <row r="171" spans="1:6" x14ac:dyDescent="0.2">
      <c r="A171" s="1" t="s">
        <v>34</v>
      </c>
      <c r="B171" s="3" t="s">
        <v>52</v>
      </c>
      <c r="C171" s="1" t="s">
        <v>22</v>
      </c>
      <c r="D171" s="1" t="s">
        <v>7</v>
      </c>
      <c r="E171" s="2">
        <v>1.9921504093355809E-2</v>
      </c>
      <c r="F171" s="1" t="s">
        <v>123</v>
      </c>
    </row>
    <row r="172" spans="1:6" x14ac:dyDescent="0.2">
      <c r="A172" s="1" t="s">
        <v>34</v>
      </c>
      <c r="B172" s="3" t="s">
        <v>52</v>
      </c>
      <c r="C172" s="1" t="s">
        <v>23</v>
      </c>
      <c r="D172" s="1" t="s">
        <v>7</v>
      </c>
      <c r="E172" s="2">
        <v>1.9921504093355809E-2</v>
      </c>
      <c r="F172" s="1" t="s">
        <v>123</v>
      </c>
    </row>
    <row r="173" spans="1:6" x14ac:dyDescent="0.2">
      <c r="A173" s="1" t="s">
        <v>34</v>
      </c>
      <c r="B173" s="3" t="s">
        <v>52</v>
      </c>
      <c r="C173" s="1" t="s">
        <v>28</v>
      </c>
      <c r="D173" s="1" t="s">
        <v>6</v>
      </c>
      <c r="E173" s="2">
        <v>1.5556081183693208E-2</v>
      </c>
      <c r="F173" s="1" t="s">
        <v>123</v>
      </c>
    </row>
    <row r="174" spans="1:6" x14ac:dyDescent="0.2">
      <c r="A174" s="1" t="s">
        <v>34</v>
      </c>
      <c r="B174" s="3" t="s">
        <v>52</v>
      </c>
      <c r="C174" s="1" t="s">
        <v>29</v>
      </c>
      <c r="D174" s="1" t="s">
        <v>6</v>
      </c>
      <c r="E174" s="2">
        <v>1.5556081183693208E-2</v>
      </c>
      <c r="F174" s="1" t="s">
        <v>123</v>
      </c>
    </row>
    <row r="175" spans="1:6" x14ac:dyDescent="0.2">
      <c r="A175" s="1" t="s">
        <v>34</v>
      </c>
      <c r="B175" s="3" t="s">
        <v>52</v>
      </c>
      <c r="C175" s="1" t="s">
        <v>24</v>
      </c>
      <c r="D175" s="1" t="s">
        <v>8</v>
      </c>
      <c r="E175" s="2">
        <v>1.9921504093355809E-2</v>
      </c>
      <c r="F175" s="1" t="s">
        <v>123</v>
      </c>
    </row>
    <row r="176" spans="1:6" x14ac:dyDescent="0.2">
      <c r="A176" s="1" t="s">
        <v>34</v>
      </c>
      <c r="B176" s="3" t="s">
        <v>52</v>
      </c>
      <c r="C176" s="1" t="s">
        <v>30</v>
      </c>
      <c r="D176" s="1" t="s">
        <v>8</v>
      </c>
      <c r="E176" s="2">
        <v>1.9921504093355809E-2</v>
      </c>
      <c r="F176" s="1" t="s">
        <v>123</v>
      </c>
    </row>
    <row r="177" spans="1:6" x14ac:dyDescent="0.2">
      <c r="A177" s="1" t="s">
        <v>34</v>
      </c>
      <c r="B177" s="3" t="s">
        <v>52</v>
      </c>
      <c r="C177" s="1" t="s">
        <v>25</v>
      </c>
      <c r="D177" s="1" t="s">
        <v>7</v>
      </c>
      <c r="E177" s="2">
        <v>1.9921504093355809E-2</v>
      </c>
      <c r="F177" s="1" t="s">
        <v>123</v>
      </c>
    </row>
    <row r="178" spans="1:6" ht="17" thickBot="1" x14ac:dyDescent="0.25">
      <c r="A178" s="6" t="s">
        <v>34</v>
      </c>
      <c r="B178" s="7" t="s">
        <v>52</v>
      </c>
      <c r="C178" s="6" t="s">
        <v>26</v>
      </c>
      <c r="D178" s="6" t="s">
        <v>7</v>
      </c>
      <c r="E178" s="8">
        <v>1.9921504093355809E-2</v>
      </c>
      <c r="F178" s="6" t="s">
        <v>123</v>
      </c>
    </row>
  </sheetData>
  <phoneticPr fontId="1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zoomScale="92" zoomScaleNormal="100" workbookViewId="0">
      <selection activeCell="F31" sqref="F31"/>
    </sheetView>
  </sheetViews>
  <sheetFormatPr baseColWidth="10" defaultColWidth="11.5" defaultRowHeight="16" x14ac:dyDescent="0.2"/>
  <cols>
    <col min="1" max="1" width="11.5" style="1"/>
    <col min="2" max="2" width="22.83203125" style="1" customWidth="1"/>
    <col min="3" max="3" width="11.5" style="1"/>
    <col min="4" max="4" width="12.6640625" customWidth="1"/>
    <col min="5" max="5" width="12.5" style="1" customWidth="1"/>
    <col min="6" max="6" width="32.83203125" style="1" customWidth="1"/>
    <col min="7" max="16384" width="11.5" style="1"/>
  </cols>
  <sheetData>
    <row r="1" spans="1:9" ht="17" thickBot="1" x14ac:dyDescent="0.25">
      <c r="A1" s="10" t="s">
        <v>1</v>
      </c>
      <c r="B1" s="10" t="s">
        <v>0</v>
      </c>
      <c r="C1" s="10" t="s">
        <v>5</v>
      </c>
      <c r="D1" s="10" t="s">
        <v>36</v>
      </c>
      <c r="E1" s="10" t="s">
        <v>140</v>
      </c>
      <c r="F1" s="10" t="s">
        <v>47</v>
      </c>
    </row>
    <row r="2" spans="1:9" x14ac:dyDescent="0.2">
      <c r="A2" s="1" t="s">
        <v>39</v>
      </c>
      <c r="B2" s="3" t="s">
        <v>40</v>
      </c>
      <c r="C2" s="1" t="s">
        <v>6</v>
      </c>
      <c r="D2" s="18">
        <f>AVERAGE(E2:E4)</f>
        <v>6.449880666666667E-3</v>
      </c>
      <c r="E2" s="12">
        <v>7.5560890000000002E-3</v>
      </c>
      <c r="F2" s="1" t="s">
        <v>134</v>
      </c>
    </row>
    <row r="3" spans="1:9" x14ac:dyDescent="0.2">
      <c r="A3" s="1" t="s">
        <v>39</v>
      </c>
      <c r="B3" s="3" t="s">
        <v>40</v>
      </c>
      <c r="C3" s="1" t="s">
        <v>7</v>
      </c>
      <c r="D3" s="18">
        <f>AVERAGE(E2:E4)</f>
        <v>6.449880666666667E-3</v>
      </c>
      <c r="E3" s="12">
        <v>5.4574979999999999E-3</v>
      </c>
      <c r="F3" s="1" t="s">
        <v>134</v>
      </c>
    </row>
    <row r="4" spans="1:9" ht="17" thickBot="1" x14ac:dyDescent="0.25">
      <c r="A4" s="6" t="s">
        <v>39</v>
      </c>
      <c r="B4" s="7" t="s">
        <v>40</v>
      </c>
      <c r="C4" s="6" t="s">
        <v>8</v>
      </c>
      <c r="D4" s="19">
        <f>AVERAGE(E2:E4)</f>
        <v>6.449880666666667E-3</v>
      </c>
      <c r="E4" s="14">
        <v>6.3360550000000002E-3</v>
      </c>
      <c r="F4" s="6" t="s">
        <v>134</v>
      </c>
      <c r="I4" s="12"/>
    </row>
    <row r="5" spans="1:9" x14ac:dyDescent="0.2">
      <c r="A5" s="1" t="s">
        <v>41</v>
      </c>
      <c r="B5" s="3" t="s">
        <v>42</v>
      </c>
      <c r="C5" s="1" t="s">
        <v>6</v>
      </c>
      <c r="D5" s="18">
        <f>AVERAGE(E5:E7)</f>
        <v>7.1657199999999996E-4</v>
      </c>
      <c r="E5" s="12">
        <v>5.9238699999999999E-4</v>
      </c>
      <c r="F5" s="1" t="s">
        <v>134</v>
      </c>
    </row>
    <row r="6" spans="1:9" x14ac:dyDescent="0.2">
      <c r="A6" s="1" t="s">
        <v>41</v>
      </c>
      <c r="B6" s="3" t="s">
        <v>42</v>
      </c>
      <c r="C6" s="1" t="s">
        <v>7</v>
      </c>
      <c r="D6" s="18">
        <f>AVERAGE(E5:E7)</f>
        <v>7.1657199999999996E-4</v>
      </c>
      <c r="E6" s="12">
        <v>1.383848E-3</v>
      </c>
      <c r="F6" s="1" t="s">
        <v>134</v>
      </c>
    </row>
    <row r="7" spans="1:9" ht="17" thickBot="1" x14ac:dyDescent="0.25">
      <c r="A7" s="6" t="s">
        <v>41</v>
      </c>
      <c r="B7" s="7" t="s">
        <v>42</v>
      </c>
      <c r="C7" s="6" t="s">
        <v>8</v>
      </c>
      <c r="D7" s="19">
        <f>AVERAGE(E5:E7)</f>
        <v>7.1657199999999996E-4</v>
      </c>
      <c r="E7" s="14">
        <v>1.7348099999999999E-4</v>
      </c>
      <c r="F7" s="6" t="s">
        <v>134</v>
      </c>
    </row>
    <row r="8" spans="1:9" x14ac:dyDescent="0.2">
      <c r="A8" s="1" t="s">
        <v>37</v>
      </c>
      <c r="B8" s="1" t="s">
        <v>38</v>
      </c>
      <c r="C8" s="1" t="s">
        <v>6</v>
      </c>
      <c r="D8" s="18">
        <f>AVERAGE(E8:E10)</f>
        <v>7.9945676000000007E-2</v>
      </c>
      <c r="E8" s="12">
        <v>5.6103594999999999E-2</v>
      </c>
      <c r="F8" s="1" t="s">
        <v>134</v>
      </c>
    </row>
    <row r="9" spans="1:9" x14ac:dyDescent="0.2">
      <c r="A9" s="1" t="s">
        <v>37</v>
      </c>
      <c r="B9" s="1" t="s">
        <v>38</v>
      </c>
      <c r="C9" s="1" t="s">
        <v>7</v>
      </c>
      <c r="D9" s="18">
        <f>AVERAGE(E8:E10)</f>
        <v>7.9945676000000007E-2</v>
      </c>
      <c r="E9" s="12">
        <v>6.3733433000000006E-2</v>
      </c>
      <c r="F9" s="1" t="s">
        <v>134</v>
      </c>
    </row>
    <row r="10" spans="1:9" ht="17" thickBot="1" x14ac:dyDescent="0.25">
      <c r="A10" s="6" t="s">
        <v>37</v>
      </c>
      <c r="B10" s="6" t="s">
        <v>38</v>
      </c>
      <c r="C10" s="6" t="s">
        <v>8</v>
      </c>
      <c r="D10" s="19">
        <f>AVERAGE(E8:E10)</f>
        <v>7.9945676000000007E-2</v>
      </c>
      <c r="E10" s="14">
        <v>0.12</v>
      </c>
      <c r="F10" s="6" t="s">
        <v>134</v>
      </c>
    </row>
    <row r="11" spans="1:9" x14ac:dyDescent="0.2">
      <c r="A11" s="1" t="s">
        <v>50</v>
      </c>
      <c r="B11" s="3" t="s">
        <v>27</v>
      </c>
      <c r="C11" s="1" t="s">
        <v>6</v>
      </c>
      <c r="D11" s="12">
        <v>5.9714285714285702E-3</v>
      </c>
      <c r="E11" s="12">
        <v>5.9714285714285702E-3</v>
      </c>
      <c r="F11" s="1" t="s">
        <v>75</v>
      </c>
    </row>
    <row r="12" spans="1:9" x14ac:dyDescent="0.2">
      <c r="A12" s="1" t="s">
        <v>50</v>
      </c>
      <c r="B12" s="3" t="s">
        <v>27</v>
      </c>
      <c r="C12" s="1" t="s">
        <v>7</v>
      </c>
      <c r="D12" s="12">
        <v>5.9714285714285711E-3</v>
      </c>
      <c r="E12" s="12">
        <v>5.9714285714285711E-3</v>
      </c>
      <c r="F12" s="1" t="s">
        <v>75</v>
      </c>
    </row>
    <row r="13" spans="1:9" ht="17" thickBot="1" x14ac:dyDescent="0.25">
      <c r="A13" s="6" t="s">
        <v>50</v>
      </c>
      <c r="B13" s="7" t="s">
        <v>27</v>
      </c>
      <c r="C13" s="6" t="s">
        <v>8</v>
      </c>
      <c r="D13" s="14">
        <v>5.9714285714285711E-3</v>
      </c>
      <c r="E13" s="14">
        <v>5.9714285714285711E-3</v>
      </c>
      <c r="F13" s="6" t="s">
        <v>75</v>
      </c>
    </row>
    <row r="14" spans="1:9" x14ac:dyDescent="0.2">
      <c r="A14" s="1" t="s">
        <v>49</v>
      </c>
      <c r="B14" s="3" t="s">
        <v>2</v>
      </c>
      <c r="C14" s="1" t="s">
        <v>6</v>
      </c>
      <c r="D14" s="12">
        <v>3.8205673758865237E-3</v>
      </c>
      <c r="E14" s="12">
        <v>3.8205673758865237E-3</v>
      </c>
      <c r="F14" s="1" t="s">
        <v>77</v>
      </c>
    </row>
    <row r="15" spans="1:9" x14ac:dyDescent="0.2">
      <c r="A15" s="1" t="s">
        <v>49</v>
      </c>
      <c r="B15" s="3" t="s">
        <v>2</v>
      </c>
      <c r="C15" s="1" t="s">
        <v>7</v>
      </c>
      <c r="D15" s="12">
        <v>3.8205673758865237E-3</v>
      </c>
      <c r="E15" s="12">
        <v>3.8205673758865237E-3</v>
      </c>
      <c r="F15" s="1" t="s">
        <v>77</v>
      </c>
    </row>
    <row r="16" spans="1:9" ht="17" thickBot="1" x14ac:dyDescent="0.25">
      <c r="A16" s="6" t="s">
        <v>49</v>
      </c>
      <c r="B16" s="7" t="s">
        <v>2</v>
      </c>
      <c r="C16" s="6" t="s">
        <v>8</v>
      </c>
      <c r="D16" s="14">
        <v>3.8205673758865237E-3</v>
      </c>
      <c r="E16" s="14">
        <v>3.8205673758865237E-3</v>
      </c>
      <c r="F16" s="6" t="s">
        <v>77</v>
      </c>
    </row>
    <row r="17" spans="1:6" x14ac:dyDescent="0.2">
      <c r="A17" s="1" t="s">
        <v>51</v>
      </c>
      <c r="B17" s="3" t="s">
        <v>3</v>
      </c>
      <c r="C17" s="1" t="s">
        <v>6</v>
      </c>
      <c r="D17" s="12">
        <v>1.2735849056603774E-4</v>
      </c>
      <c r="E17" s="12">
        <v>1.2735849056603774E-4</v>
      </c>
      <c r="F17" s="1" t="s">
        <v>76</v>
      </c>
    </row>
    <row r="18" spans="1:6" x14ac:dyDescent="0.2">
      <c r="A18" s="1" t="s">
        <v>51</v>
      </c>
      <c r="B18" s="3" t="s">
        <v>3</v>
      </c>
      <c r="C18" s="1" t="s">
        <v>7</v>
      </c>
      <c r="D18" s="12">
        <v>1.2735849056603774E-4</v>
      </c>
      <c r="E18" s="12">
        <v>1.2735849056603774E-4</v>
      </c>
      <c r="F18" s="1" t="s">
        <v>76</v>
      </c>
    </row>
    <row r="19" spans="1:6" ht="17" thickBot="1" x14ac:dyDescent="0.25">
      <c r="A19" s="6" t="s">
        <v>51</v>
      </c>
      <c r="B19" s="7" t="s">
        <v>3</v>
      </c>
      <c r="C19" s="6" t="s">
        <v>8</v>
      </c>
      <c r="D19" s="14">
        <v>1.2735849056603774E-4</v>
      </c>
      <c r="E19" s="14">
        <v>1.2735849056603774E-4</v>
      </c>
      <c r="F19" s="6" t="s">
        <v>76</v>
      </c>
    </row>
    <row r="20" spans="1:6" x14ac:dyDescent="0.2">
      <c r="A20" s="1" t="s">
        <v>35</v>
      </c>
      <c r="B20" s="3" t="s">
        <v>61</v>
      </c>
      <c r="C20" s="1" t="s">
        <v>6</v>
      </c>
      <c r="D20" s="12">
        <v>3.2440740740740735E-2</v>
      </c>
      <c r="E20" s="12">
        <v>3.2440740740740735E-2</v>
      </c>
      <c r="F20" s="1" t="s">
        <v>129</v>
      </c>
    </row>
    <row r="21" spans="1:6" x14ac:dyDescent="0.2">
      <c r="A21" s="1" t="s">
        <v>35</v>
      </c>
      <c r="B21" s="3" t="s">
        <v>61</v>
      </c>
      <c r="C21" s="1" t="s">
        <v>7</v>
      </c>
      <c r="D21" s="12">
        <v>3.2440740740740735E-2</v>
      </c>
      <c r="E21" s="12">
        <v>3.2440740740740735E-2</v>
      </c>
      <c r="F21" s="1" t="s">
        <v>129</v>
      </c>
    </row>
    <row r="22" spans="1:6" ht="17" thickBot="1" x14ac:dyDescent="0.25">
      <c r="A22" s="6" t="s">
        <v>35</v>
      </c>
      <c r="B22" s="7" t="s">
        <v>61</v>
      </c>
      <c r="C22" s="6" t="s">
        <v>8</v>
      </c>
      <c r="D22" s="14">
        <v>3.2440740740740735E-2</v>
      </c>
      <c r="E22" s="14">
        <v>3.2440740740740735E-2</v>
      </c>
      <c r="F22" s="6" t="s">
        <v>129</v>
      </c>
    </row>
    <row r="23" spans="1:6" x14ac:dyDescent="0.2">
      <c r="A23" s="1" t="s">
        <v>83</v>
      </c>
      <c r="B23" s="3" t="s">
        <v>62</v>
      </c>
      <c r="C23" s="1" t="s">
        <v>6</v>
      </c>
      <c r="D23" s="12">
        <v>4.2857142857142859E-3</v>
      </c>
      <c r="E23" s="12">
        <v>4.2857142857142859E-3</v>
      </c>
      <c r="F23" s="1" t="s">
        <v>130</v>
      </c>
    </row>
    <row r="24" spans="1:6" x14ac:dyDescent="0.2">
      <c r="A24" s="1" t="s">
        <v>83</v>
      </c>
      <c r="B24" s="3" t="s">
        <v>62</v>
      </c>
      <c r="C24" s="1" t="s">
        <v>7</v>
      </c>
      <c r="D24" s="12">
        <v>4.2857142857142859E-3</v>
      </c>
      <c r="E24" s="12">
        <v>4.2857142857142859E-3</v>
      </c>
      <c r="F24" s="1" t="s">
        <v>130</v>
      </c>
    </row>
    <row r="25" spans="1:6" ht="17" thickBot="1" x14ac:dyDescent="0.25">
      <c r="A25" s="6" t="s">
        <v>83</v>
      </c>
      <c r="B25" s="7" t="s">
        <v>62</v>
      </c>
      <c r="C25" s="6" t="s">
        <v>8</v>
      </c>
      <c r="D25" s="14">
        <v>4.2857142857142859E-3</v>
      </c>
      <c r="E25" s="14">
        <v>4.2857142857142859E-3</v>
      </c>
      <c r="F25" s="6" t="s">
        <v>130</v>
      </c>
    </row>
    <row r="26" spans="1:6" x14ac:dyDescent="0.2">
      <c r="A26" s="1" t="s">
        <v>43</v>
      </c>
      <c r="B26" s="3" t="s">
        <v>48</v>
      </c>
      <c r="C26" s="1" t="s">
        <v>6</v>
      </c>
      <c r="D26" s="12">
        <v>1.9166666666666666E-3</v>
      </c>
      <c r="E26" s="12">
        <v>1.9166666666666666E-3</v>
      </c>
      <c r="F26" s="1" t="s">
        <v>78</v>
      </c>
    </row>
    <row r="27" spans="1:6" x14ac:dyDescent="0.2">
      <c r="A27" s="1" t="s">
        <v>43</v>
      </c>
      <c r="B27" s="3" t="s">
        <v>48</v>
      </c>
      <c r="C27" s="1" t="s">
        <v>7</v>
      </c>
      <c r="D27" s="12">
        <v>1.91666666666667E-3</v>
      </c>
      <c r="E27" s="12">
        <v>1.91666666666667E-3</v>
      </c>
      <c r="F27" s="1" t="s">
        <v>78</v>
      </c>
    </row>
    <row r="28" spans="1:6" ht="17" thickBot="1" x14ac:dyDescent="0.25">
      <c r="A28" s="6" t="s">
        <v>43</v>
      </c>
      <c r="B28" s="7" t="s">
        <v>48</v>
      </c>
      <c r="C28" s="6" t="s">
        <v>8</v>
      </c>
      <c r="D28" s="14">
        <v>1.9166666666666666E-3</v>
      </c>
      <c r="E28" s="14">
        <v>1.9166666666666666E-3</v>
      </c>
      <c r="F28" s="6" t="s">
        <v>78</v>
      </c>
    </row>
    <row r="29" spans="1:6" x14ac:dyDescent="0.2">
      <c r="A29" s="1" t="s">
        <v>34</v>
      </c>
      <c r="B29" s="3" t="s">
        <v>44</v>
      </c>
      <c r="C29" s="1" t="s">
        <v>6</v>
      </c>
      <c r="D29" s="12">
        <f>AVERAGE(E29:E31)</f>
        <v>3.2539682539682543E-3</v>
      </c>
      <c r="E29" s="12">
        <v>2.380952380952381E-4</v>
      </c>
      <c r="F29" s="1" t="s">
        <v>80</v>
      </c>
    </row>
    <row r="30" spans="1:6" x14ac:dyDescent="0.2">
      <c r="A30" s="1" t="s">
        <v>34</v>
      </c>
      <c r="B30" s="3" t="s">
        <v>44</v>
      </c>
      <c r="C30" s="1" t="s">
        <v>7</v>
      </c>
      <c r="D30" s="12">
        <f>AVERAGE(E29:E31)</f>
        <v>3.2539682539682543E-3</v>
      </c>
      <c r="E30" s="12">
        <v>4.7619047619047623E-3</v>
      </c>
      <c r="F30" s="1" t="s">
        <v>80</v>
      </c>
    </row>
    <row r="31" spans="1:6" ht="17" thickBot="1" x14ac:dyDescent="0.25">
      <c r="A31" s="6" t="s">
        <v>34</v>
      </c>
      <c r="B31" s="7" t="s">
        <v>44</v>
      </c>
      <c r="C31" s="6" t="s">
        <v>8</v>
      </c>
      <c r="D31" s="14">
        <f>AVERAGE(E29:E31)</f>
        <v>3.2539682539682543E-3</v>
      </c>
      <c r="E31" s="14">
        <v>4.7619047619047623E-3</v>
      </c>
      <c r="F31" s="6" t="s">
        <v>80</v>
      </c>
    </row>
    <row r="32" spans="1:6" x14ac:dyDescent="0.2">
      <c r="A32" s="1" t="s">
        <v>31</v>
      </c>
      <c r="B32" s="3" t="s">
        <v>84</v>
      </c>
      <c r="C32" s="1" t="s">
        <v>6</v>
      </c>
      <c r="D32" s="12">
        <v>7.1428571428571429E-4</v>
      </c>
      <c r="E32" s="12">
        <v>7.1428571428571429E-4</v>
      </c>
      <c r="F32" s="1" t="s">
        <v>79</v>
      </c>
    </row>
    <row r="33" spans="1:6" x14ac:dyDescent="0.2">
      <c r="A33" s="1" t="s">
        <v>31</v>
      </c>
      <c r="B33" s="3" t="s">
        <v>84</v>
      </c>
      <c r="C33" s="1" t="s">
        <v>7</v>
      </c>
      <c r="D33" s="12">
        <v>7.1428571428571429E-4</v>
      </c>
      <c r="E33" s="12">
        <v>7.1428571428571429E-4</v>
      </c>
      <c r="F33" s="1" t="s">
        <v>79</v>
      </c>
    </row>
    <row r="34" spans="1:6" ht="17" thickBot="1" x14ac:dyDescent="0.25">
      <c r="A34" s="6" t="s">
        <v>31</v>
      </c>
      <c r="B34" s="7" t="s">
        <v>84</v>
      </c>
      <c r="C34" s="6" t="s">
        <v>8</v>
      </c>
      <c r="D34" s="14">
        <v>7.1428571428571429E-4</v>
      </c>
      <c r="E34" s="14">
        <v>7.1428571428571429E-4</v>
      </c>
      <c r="F34" s="6" t="s">
        <v>79</v>
      </c>
    </row>
    <row r="35" spans="1:6" x14ac:dyDescent="0.2">
      <c r="A35" s="1" t="s">
        <v>13</v>
      </c>
      <c r="B35" s="3" t="s">
        <v>32</v>
      </c>
      <c r="C35" s="1" t="s">
        <v>6</v>
      </c>
      <c r="D35" s="12">
        <v>4.9938271604938267E-3</v>
      </c>
      <c r="E35" s="12">
        <v>4.9938271604938267E-3</v>
      </c>
      <c r="F35" s="1" t="s">
        <v>128</v>
      </c>
    </row>
    <row r="36" spans="1:6" x14ac:dyDescent="0.2">
      <c r="A36" s="1" t="s">
        <v>13</v>
      </c>
      <c r="B36" s="3" t="s">
        <v>32</v>
      </c>
      <c r="C36" s="1" t="s">
        <v>7</v>
      </c>
      <c r="D36" s="12">
        <v>4.9938271604938267E-3</v>
      </c>
      <c r="E36" s="12">
        <v>4.9938271604938267E-3</v>
      </c>
      <c r="F36" s="1" t="s">
        <v>128</v>
      </c>
    </row>
    <row r="37" spans="1:6" ht="17" thickBot="1" x14ac:dyDescent="0.25">
      <c r="A37" s="6" t="s">
        <v>13</v>
      </c>
      <c r="B37" s="7" t="s">
        <v>32</v>
      </c>
      <c r="C37" s="6" t="s">
        <v>8</v>
      </c>
      <c r="D37" s="14">
        <v>4.9938271604938267E-3</v>
      </c>
      <c r="E37" s="14">
        <v>4.9938271604938267E-3</v>
      </c>
      <c r="F37" s="6" t="s">
        <v>128</v>
      </c>
    </row>
    <row r="38" spans="1:6" x14ac:dyDescent="0.2">
      <c r="A38" s="1" t="s">
        <v>81</v>
      </c>
      <c r="B38" s="1" t="s">
        <v>82</v>
      </c>
      <c r="C38" s="1" t="s">
        <v>6</v>
      </c>
      <c r="D38" s="12">
        <v>2.3287671232876711E-3</v>
      </c>
      <c r="E38" s="12">
        <v>2.3287671232876711E-3</v>
      </c>
      <c r="F38" s="1" t="s">
        <v>136</v>
      </c>
    </row>
    <row r="39" spans="1:6" x14ac:dyDescent="0.2">
      <c r="A39" s="1" t="s">
        <v>81</v>
      </c>
      <c r="B39" s="1" t="s">
        <v>82</v>
      </c>
      <c r="C39" s="1" t="s">
        <v>7</v>
      </c>
      <c r="D39" s="12">
        <v>2.3287671232876711E-3</v>
      </c>
      <c r="E39" s="12">
        <v>2.3287671232876711E-3</v>
      </c>
      <c r="F39" s="1" t="s">
        <v>136</v>
      </c>
    </row>
    <row r="40" spans="1:6" ht="17" thickBot="1" x14ac:dyDescent="0.25">
      <c r="A40" s="6" t="s">
        <v>81</v>
      </c>
      <c r="B40" s="6" t="s">
        <v>82</v>
      </c>
      <c r="C40" s="6" t="s">
        <v>8</v>
      </c>
      <c r="D40" s="14">
        <v>2.3287671232876698E-3</v>
      </c>
      <c r="E40" s="14">
        <v>2.3287671232876698E-3</v>
      </c>
      <c r="F40" s="6" t="s">
        <v>136</v>
      </c>
    </row>
  </sheetData>
  <phoneticPr fontId="1" type="noConversion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zoomScale="113" workbookViewId="0">
      <selection activeCell="C3" sqref="C3"/>
    </sheetView>
  </sheetViews>
  <sheetFormatPr baseColWidth="10" defaultColWidth="8.83203125" defaultRowHeight="16" x14ac:dyDescent="0.2"/>
  <cols>
    <col min="1" max="2" width="8.83203125" style="1"/>
    <col min="3" max="3" width="104.33203125" style="1" customWidth="1"/>
    <col min="4" max="16384" width="8.83203125" style="1"/>
  </cols>
  <sheetData>
    <row r="1" spans="1:3" x14ac:dyDescent="0.2">
      <c r="A1" s="1" t="s">
        <v>88</v>
      </c>
      <c r="B1" s="1" t="s">
        <v>92</v>
      </c>
      <c r="C1" s="1" t="s">
        <v>96</v>
      </c>
    </row>
    <row r="2" spans="1:3" x14ac:dyDescent="0.2">
      <c r="A2" s="1" t="s">
        <v>81</v>
      </c>
      <c r="B2" s="1" t="s">
        <v>35</v>
      </c>
      <c r="C2" s="1" t="s">
        <v>97</v>
      </c>
    </row>
    <row r="3" spans="1:3" x14ac:dyDescent="0.2">
      <c r="A3" s="1" t="s">
        <v>39</v>
      </c>
      <c r="B3" s="1" t="s">
        <v>50</v>
      </c>
      <c r="C3" s="1" t="s">
        <v>138</v>
      </c>
    </row>
    <row r="4" spans="1:3" x14ac:dyDescent="0.2">
      <c r="A4" s="1" t="s">
        <v>41</v>
      </c>
      <c r="B4" s="1" t="s">
        <v>50</v>
      </c>
      <c r="C4" s="1" t="s">
        <v>138</v>
      </c>
    </row>
    <row r="5" spans="1:3" x14ac:dyDescent="0.2">
      <c r="A5" s="1" t="s">
        <v>37</v>
      </c>
      <c r="B5" s="1" t="s">
        <v>50</v>
      </c>
      <c r="C5" s="1" t="s">
        <v>138</v>
      </c>
    </row>
    <row r="6" spans="1:3" x14ac:dyDescent="0.2">
      <c r="A6" s="1" t="s">
        <v>81</v>
      </c>
      <c r="B6" s="1" t="s">
        <v>50</v>
      </c>
      <c r="C6" s="1" t="s">
        <v>138</v>
      </c>
    </row>
    <row r="7" spans="1:3" x14ac:dyDescent="0.2">
      <c r="A7" s="1" t="s">
        <v>81</v>
      </c>
      <c r="B7" s="1" t="s">
        <v>43</v>
      </c>
      <c r="C7" s="1" t="s">
        <v>116</v>
      </c>
    </row>
    <row r="8" spans="1:3" x14ac:dyDescent="0.2">
      <c r="A8" s="1" t="s">
        <v>39</v>
      </c>
      <c r="B8" s="1" t="s">
        <v>49</v>
      </c>
      <c r="C8" s="1" t="s">
        <v>117</v>
      </c>
    </row>
    <row r="9" spans="1:3" x14ac:dyDescent="0.2">
      <c r="A9" s="1" t="s">
        <v>41</v>
      </c>
      <c r="B9" s="1" t="s">
        <v>49</v>
      </c>
      <c r="C9" s="1" t="s">
        <v>117</v>
      </c>
    </row>
    <row r="10" spans="1:3" x14ac:dyDescent="0.2">
      <c r="A10" s="1" t="s">
        <v>37</v>
      </c>
      <c r="B10" s="1" t="s">
        <v>49</v>
      </c>
      <c r="C10" s="1" t="s">
        <v>117</v>
      </c>
    </row>
    <row r="11" spans="1:3" x14ac:dyDescent="0.2">
      <c r="A11" s="1" t="s">
        <v>81</v>
      </c>
      <c r="B11" s="1" t="s">
        <v>49</v>
      </c>
      <c r="C11" s="1" t="s">
        <v>117</v>
      </c>
    </row>
    <row r="12" spans="1:3" x14ac:dyDescent="0.2">
      <c r="A12" s="1" t="s">
        <v>39</v>
      </c>
      <c r="B12" s="1" t="s">
        <v>51</v>
      </c>
      <c r="C12" s="1" t="s">
        <v>118</v>
      </c>
    </row>
    <row r="13" spans="1:3" x14ac:dyDescent="0.2">
      <c r="A13" s="1" t="s">
        <v>41</v>
      </c>
      <c r="B13" s="1" t="s">
        <v>51</v>
      </c>
      <c r="C13" s="1" t="s">
        <v>118</v>
      </c>
    </row>
    <row r="14" spans="1:3" x14ac:dyDescent="0.2">
      <c r="A14" s="1" t="s">
        <v>37</v>
      </c>
      <c r="B14" s="1" t="s">
        <v>51</v>
      </c>
      <c r="C14" s="1" t="s">
        <v>118</v>
      </c>
    </row>
    <row r="15" spans="1:3" x14ac:dyDescent="0.2">
      <c r="A15" s="1" t="s">
        <v>81</v>
      </c>
      <c r="B15" s="1" t="s">
        <v>51</v>
      </c>
      <c r="C15" s="1" t="s">
        <v>118</v>
      </c>
    </row>
    <row r="16" spans="1:3" x14ac:dyDescent="0.2">
      <c r="A16" s="1" t="s">
        <v>81</v>
      </c>
      <c r="B16" s="1" t="s">
        <v>34</v>
      </c>
      <c r="C16" s="1" t="s">
        <v>119</v>
      </c>
    </row>
    <row r="17" spans="1:3" x14ac:dyDescent="0.2">
      <c r="A17" s="1" t="s">
        <v>81</v>
      </c>
      <c r="B17" s="1" t="s">
        <v>31</v>
      </c>
      <c r="C17" s="1" t="s">
        <v>120</v>
      </c>
    </row>
    <row r="18" spans="1:3" x14ac:dyDescent="0.2">
      <c r="A18" s="1" t="s">
        <v>35</v>
      </c>
      <c r="B18" s="1" t="s">
        <v>13</v>
      </c>
      <c r="C18" s="1" t="s">
        <v>121</v>
      </c>
    </row>
    <row r="19" spans="1:3" x14ac:dyDescent="0.2">
      <c r="A19" s="1" t="s">
        <v>50</v>
      </c>
      <c r="B19" s="1" t="s">
        <v>13</v>
      </c>
      <c r="C19" s="1" t="s">
        <v>121</v>
      </c>
    </row>
    <row r="20" spans="1:3" x14ac:dyDescent="0.2">
      <c r="A20" s="1" t="s">
        <v>51</v>
      </c>
      <c r="B20" s="1" t="s">
        <v>13</v>
      </c>
      <c r="C20" s="1" t="s">
        <v>121</v>
      </c>
    </row>
    <row r="21" spans="1:3" x14ac:dyDescent="0.2">
      <c r="A21" s="1" t="s">
        <v>34</v>
      </c>
      <c r="B21" s="1" t="s">
        <v>13</v>
      </c>
      <c r="C21" s="1" t="s">
        <v>121</v>
      </c>
    </row>
    <row r="22" spans="1:3" x14ac:dyDescent="0.2">
      <c r="A22" s="1" t="s">
        <v>31</v>
      </c>
      <c r="B22" s="1" t="s">
        <v>13</v>
      </c>
      <c r="C22" s="1" t="s">
        <v>121</v>
      </c>
    </row>
    <row r="23" spans="1:3" x14ac:dyDescent="0.2">
      <c r="A23" s="1" t="s">
        <v>13</v>
      </c>
      <c r="B23" s="1" t="s">
        <v>13</v>
      </c>
      <c r="C23" s="1" t="s">
        <v>121</v>
      </c>
    </row>
    <row r="24" spans="1:3" x14ac:dyDescent="0.2">
      <c r="A24" s="1" t="s">
        <v>83</v>
      </c>
      <c r="B24" s="1" t="s">
        <v>13</v>
      </c>
      <c r="C24" s="1" t="s">
        <v>121</v>
      </c>
    </row>
    <row r="25" spans="1:3" x14ac:dyDescent="0.2">
      <c r="A25" s="1" t="s">
        <v>81</v>
      </c>
      <c r="B25" s="1" t="s">
        <v>13</v>
      </c>
      <c r="C25" s="1" t="s">
        <v>121</v>
      </c>
    </row>
    <row r="26" spans="1:3" x14ac:dyDescent="0.2">
      <c r="A26" s="1" t="s">
        <v>81</v>
      </c>
      <c r="B26" s="1" t="s">
        <v>83</v>
      </c>
      <c r="C26" s="3" t="s">
        <v>137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>
      <selection activeCell="D18" sqref="D18"/>
    </sheetView>
  </sheetViews>
  <sheetFormatPr baseColWidth="10" defaultColWidth="8.83203125" defaultRowHeight="16" x14ac:dyDescent="0.2"/>
  <cols>
    <col min="1" max="16384" width="8.83203125" style="1"/>
  </cols>
  <sheetData>
    <row r="1" spans="1:4" x14ac:dyDescent="0.2">
      <c r="A1" s="1" t="s">
        <v>88</v>
      </c>
      <c r="B1" s="1" t="s">
        <v>89</v>
      </c>
      <c r="C1" s="1" t="s">
        <v>90</v>
      </c>
      <c r="D1" s="1" t="s">
        <v>91</v>
      </c>
    </row>
    <row r="2" spans="1:4" x14ac:dyDescent="0.2">
      <c r="A2" s="1" t="s">
        <v>37</v>
      </c>
      <c r="B2" s="1" t="s">
        <v>50</v>
      </c>
      <c r="C2" s="1" t="s">
        <v>7</v>
      </c>
      <c r="D2" s="15">
        <v>0.19</v>
      </c>
    </row>
    <row r="3" spans="1:4" x14ac:dyDescent="0.2">
      <c r="A3" s="1" t="s">
        <v>37</v>
      </c>
      <c r="B3" s="1" t="s">
        <v>50</v>
      </c>
      <c r="C3" s="1" t="s">
        <v>8</v>
      </c>
      <c r="D3" s="15">
        <v>0.21299999999999999</v>
      </c>
    </row>
    <row r="4" spans="1:4" x14ac:dyDescent="0.2">
      <c r="A4" s="1" t="s">
        <v>37</v>
      </c>
      <c r="B4" s="1" t="s">
        <v>50</v>
      </c>
      <c r="C4" s="1" t="s">
        <v>6</v>
      </c>
      <c r="D4" s="15">
        <v>0.2</v>
      </c>
    </row>
    <row r="5" spans="1:4" x14ac:dyDescent="0.2">
      <c r="A5" s="1" t="s">
        <v>41</v>
      </c>
      <c r="B5" s="1" t="s">
        <v>50</v>
      </c>
      <c r="C5" s="1" t="s">
        <v>7</v>
      </c>
      <c r="D5" s="15">
        <v>0.17199999999999999</v>
      </c>
    </row>
    <row r="6" spans="1:4" x14ac:dyDescent="0.2">
      <c r="A6" s="1" t="s">
        <v>41</v>
      </c>
      <c r="B6" s="1" t="s">
        <v>50</v>
      </c>
      <c r="C6" s="1" t="s">
        <v>8</v>
      </c>
      <c r="D6" s="15">
        <v>0.19600000000000001</v>
      </c>
    </row>
    <row r="7" spans="1:4" x14ac:dyDescent="0.2">
      <c r="A7" s="1" t="s">
        <v>41</v>
      </c>
      <c r="B7" s="1" t="s">
        <v>50</v>
      </c>
      <c r="C7" s="1" t="s">
        <v>6</v>
      </c>
      <c r="D7" s="15">
        <v>0.19600000000000001</v>
      </c>
    </row>
    <row r="8" spans="1:4" x14ac:dyDescent="0.2">
      <c r="A8" s="1" t="s">
        <v>81</v>
      </c>
      <c r="B8" s="1" t="s">
        <v>50</v>
      </c>
      <c r="C8" s="1" t="s">
        <v>7</v>
      </c>
      <c r="D8" s="15">
        <v>0.39300000000000002</v>
      </c>
    </row>
    <row r="9" spans="1:4" x14ac:dyDescent="0.2">
      <c r="A9" s="1" t="s">
        <v>81</v>
      </c>
      <c r="B9" s="1" t="s">
        <v>50</v>
      </c>
      <c r="C9" s="1" t="s">
        <v>8</v>
      </c>
      <c r="D9" s="15">
        <v>0.35599999999999998</v>
      </c>
    </row>
    <row r="10" spans="1:4" x14ac:dyDescent="0.2">
      <c r="A10" s="1" t="s">
        <v>81</v>
      </c>
      <c r="B10" s="1" t="s">
        <v>50</v>
      </c>
      <c r="C10" s="1" t="s">
        <v>6</v>
      </c>
      <c r="D10" s="15">
        <v>0.36</v>
      </c>
    </row>
    <row r="11" spans="1:4" x14ac:dyDescent="0.2">
      <c r="A11" s="1" t="s">
        <v>39</v>
      </c>
      <c r="B11" s="1" t="s">
        <v>50</v>
      </c>
      <c r="C11" s="1" t="s">
        <v>7</v>
      </c>
      <c r="D11" s="15">
        <v>0.245</v>
      </c>
    </row>
    <row r="12" spans="1:4" x14ac:dyDescent="0.2">
      <c r="A12" s="1" t="s">
        <v>39</v>
      </c>
      <c r="B12" s="1" t="s">
        <v>50</v>
      </c>
      <c r="C12" s="1" t="s">
        <v>8</v>
      </c>
      <c r="D12" s="15">
        <v>0.23499999999999999</v>
      </c>
    </row>
    <row r="13" spans="1:4" x14ac:dyDescent="0.2">
      <c r="A13" s="1" t="s">
        <v>39</v>
      </c>
      <c r="B13" s="1" t="s">
        <v>50</v>
      </c>
      <c r="C13" s="1" t="s">
        <v>6</v>
      </c>
      <c r="D13" s="15">
        <v>0.24399999999999999</v>
      </c>
    </row>
    <row r="14" spans="1:4" x14ac:dyDescent="0.2">
      <c r="A14" s="1" t="s">
        <v>37</v>
      </c>
      <c r="B14" s="1" t="s">
        <v>51</v>
      </c>
      <c r="C14" s="1" t="s">
        <v>7</v>
      </c>
      <c r="D14" s="15">
        <v>0.123</v>
      </c>
    </row>
    <row r="15" spans="1:4" x14ac:dyDescent="0.2">
      <c r="A15" s="1" t="s">
        <v>37</v>
      </c>
      <c r="B15" s="1" t="s">
        <v>51</v>
      </c>
      <c r="C15" s="1" t="s">
        <v>8</v>
      </c>
      <c r="D15" s="15">
        <v>0.19800000000000001</v>
      </c>
    </row>
    <row r="16" spans="1:4" x14ac:dyDescent="0.2">
      <c r="A16" s="1" t="s">
        <v>37</v>
      </c>
      <c r="B16" s="1" t="s">
        <v>51</v>
      </c>
      <c r="C16" s="1" t="s">
        <v>6</v>
      </c>
      <c r="D16" s="15">
        <v>0.13600000000000001</v>
      </c>
    </row>
    <row r="17" spans="1:4" x14ac:dyDescent="0.2">
      <c r="A17" s="1" t="s">
        <v>41</v>
      </c>
      <c r="B17" s="1" t="s">
        <v>51</v>
      </c>
      <c r="C17" s="1" t="s">
        <v>7</v>
      </c>
      <c r="D17" s="15">
        <v>0.183</v>
      </c>
    </row>
    <row r="18" spans="1:4" x14ac:dyDescent="0.2">
      <c r="A18" s="1" t="s">
        <v>41</v>
      </c>
      <c r="B18" s="1" t="s">
        <v>51</v>
      </c>
      <c r="C18" s="1" t="s">
        <v>8</v>
      </c>
      <c r="D18" s="15">
        <v>0.25800000000000001</v>
      </c>
    </row>
    <row r="19" spans="1:4" x14ac:dyDescent="0.2">
      <c r="A19" s="1" t="s">
        <v>41</v>
      </c>
      <c r="B19" s="1" t="s">
        <v>51</v>
      </c>
      <c r="C19" s="1" t="s">
        <v>6</v>
      </c>
      <c r="D19" s="15">
        <v>0.30599999999999999</v>
      </c>
    </row>
    <row r="20" spans="1:4" x14ac:dyDescent="0.2">
      <c r="A20" s="1" t="s">
        <v>81</v>
      </c>
      <c r="B20" s="1" t="s">
        <v>51</v>
      </c>
      <c r="C20" s="1" t="s">
        <v>7</v>
      </c>
      <c r="D20" s="15">
        <v>0.54200000000000004</v>
      </c>
    </row>
    <row r="21" spans="1:4" x14ac:dyDescent="0.2">
      <c r="A21" s="1" t="s">
        <v>81</v>
      </c>
      <c r="B21" s="1" t="s">
        <v>51</v>
      </c>
      <c r="C21" s="1" t="s">
        <v>8</v>
      </c>
      <c r="D21" s="15">
        <v>0.372</v>
      </c>
    </row>
    <row r="22" spans="1:4" x14ac:dyDescent="0.2">
      <c r="A22" s="1" t="s">
        <v>81</v>
      </c>
      <c r="B22" s="1" t="s">
        <v>51</v>
      </c>
      <c r="C22" s="1" t="s">
        <v>6</v>
      </c>
      <c r="D22" s="15">
        <v>0.42499999999999999</v>
      </c>
    </row>
    <row r="23" spans="1:4" x14ac:dyDescent="0.2">
      <c r="A23" s="1" t="s">
        <v>39</v>
      </c>
      <c r="B23" s="1" t="s">
        <v>51</v>
      </c>
      <c r="C23" s="1" t="s">
        <v>7</v>
      </c>
      <c r="D23" s="15">
        <v>0.153</v>
      </c>
    </row>
    <row r="24" spans="1:4" x14ac:dyDescent="0.2">
      <c r="A24" s="1" t="s">
        <v>39</v>
      </c>
      <c r="B24" s="1" t="s">
        <v>51</v>
      </c>
      <c r="C24" s="1" t="s">
        <v>8</v>
      </c>
      <c r="D24" s="15">
        <v>0.17199999999999999</v>
      </c>
    </row>
    <row r="25" spans="1:4" x14ac:dyDescent="0.2">
      <c r="A25" s="1" t="s">
        <v>39</v>
      </c>
      <c r="B25" s="1" t="s">
        <v>51</v>
      </c>
      <c r="C25" s="1" t="s">
        <v>6</v>
      </c>
      <c r="D25" s="15">
        <v>0.13300000000000001</v>
      </c>
    </row>
    <row r="26" spans="1:4" x14ac:dyDescent="0.2">
      <c r="A26" s="1" t="s">
        <v>37</v>
      </c>
      <c r="B26" s="1" t="s">
        <v>49</v>
      </c>
      <c r="C26" s="1" t="s">
        <v>7</v>
      </c>
      <c r="D26" s="15">
        <v>8.8999999999999996E-2</v>
      </c>
    </row>
    <row r="27" spans="1:4" x14ac:dyDescent="0.2">
      <c r="A27" s="1" t="s">
        <v>37</v>
      </c>
      <c r="B27" s="1" t="s">
        <v>49</v>
      </c>
      <c r="C27" s="1" t="s">
        <v>8</v>
      </c>
      <c r="D27" s="15">
        <v>8.4000000000000005E-2</v>
      </c>
    </row>
    <row r="28" spans="1:4" x14ac:dyDescent="0.2">
      <c r="A28" s="1" t="s">
        <v>37</v>
      </c>
      <c r="B28" s="1" t="s">
        <v>49</v>
      </c>
      <c r="C28" s="1" t="s">
        <v>6</v>
      </c>
      <c r="D28" s="15">
        <v>8.3000000000000004E-2</v>
      </c>
    </row>
    <row r="29" spans="1:4" x14ac:dyDescent="0.2">
      <c r="A29" s="1" t="s">
        <v>41</v>
      </c>
      <c r="B29" s="1" t="s">
        <v>49</v>
      </c>
      <c r="C29" s="1" t="s">
        <v>7</v>
      </c>
      <c r="D29" s="15">
        <v>0.38400000000000001</v>
      </c>
    </row>
    <row r="30" spans="1:4" x14ac:dyDescent="0.2">
      <c r="A30" s="1" t="s">
        <v>41</v>
      </c>
      <c r="B30" s="1" t="s">
        <v>49</v>
      </c>
      <c r="C30" s="1" t="s">
        <v>8</v>
      </c>
      <c r="D30" s="15">
        <v>0.45400000000000001</v>
      </c>
    </row>
    <row r="31" spans="1:4" x14ac:dyDescent="0.2">
      <c r="A31" s="1" t="s">
        <v>41</v>
      </c>
      <c r="B31" s="1" t="s">
        <v>49</v>
      </c>
      <c r="C31" s="1" t="s">
        <v>6</v>
      </c>
      <c r="D31" s="15">
        <v>0.51600000000000001</v>
      </c>
    </row>
    <row r="32" spans="1:4" x14ac:dyDescent="0.2">
      <c r="A32" s="1" t="s">
        <v>81</v>
      </c>
      <c r="B32" s="1" t="s">
        <v>49</v>
      </c>
      <c r="C32" s="1" t="s">
        <v>7</v>
      </c>
      <c r="D32" s="15">
        <v>0.17199999999999999</v>
      </c>
    </row>
    <row r="33" spans="1:4" x14ac:dyDescent="0.2">
      <c r="A33" s="1" t="s">
        <v>81</v>
      </c>
      <c r="B33" s="1" t="s">
        <v>49</v>
      </c>
      <c r="C33" s="1" t="s">
        <v>8</v>
      </c>
      <c r="D33" s="15">
        <v>0.14499999999999999</v>
      </c>
    </row>
    <row r="34" spans="1:4" x14ac:dyDescent="0.2">
      <c r="A34" s="1" t="s">
        <v>81</v>
      </c>
      <c r="B34" s="1" t="s">
        <v>49</v>
      </c>
      <c r="C34" s="1" t="s">
        <v>6</v>
      </c>
      <c r="D34" s="15">
        <v>0.15</v>
      </c>
    </row>
    <row r="35" spans="1:4" x14ac:dyDescent="0.2">
      <c r="A35" s="1" t="s">
        <v>39</v>
      </c>
      <c r="B35" s="1" t="s">
        <v>49</v>
      </c>
      <c r="C35" s="1" t="s">
        <v>7</v>
      </c>
      <c r="D35" s="15">
        <v>0.35399999999999998</v>
      </c>
    </row>
    <row r="36" spans="1:4" x14ac:dyDescent="0.2">
      <c r="A36" s="1" t="s">
        <v>39</v>
      </c>
      <c r="B36" s="1" t="s">
        <v>49</v>
      </c>
      <c r="C36" s="1" t="s">
        <v>8</v>
      </c>
      <c r="D36" s="15">
        <v>0.318</v>
      </c>
    </row>
    <row r="37" spans="1:4" x14ac:dyDescent="0.2">
      <c r="A37" s="1" t="s">
        <v>39</v>
      </c>
      <c r="B37" s="1" t="s">
        <v>49</v>
      </c>
      <c r="C37" s="1" t="s">
        <v>6</v>
      </c>
      <c r="D37" s="15">
        <v>0.251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9A041-A49E-B74C-86F8-8ECF4F657A40}">
  <dimension ref="A1:D15"/>
  <sheetViews>
    <sheetView workbookViewId="0">
      <selection activeCell="D22" sqref="D22"/>
    </sheetView>
  </sheetViews>
  <sheetFormatPr baseColWidth="10" defaultRowHeight="16" x14ac:dyDescent="0.2"/>
  <cols>
    <col min="2" max="2" width="18.33203125" customWidth="1"/>
    <col min="4" max="4" width="60.5" customWidth="1"/>
  </cols>
  <sheetData>
    <row r="1" spans="1:4" x14ac:dyDescent="0.2">
      <c r="A1" s="1" t="s">
        <v>1</v>
      </c>
      <c r="B1" s="1" t="s">
        <v>15</v>
      </c>
      <c r="C1" s="1" t="s">
        <v>93</v>
      </c>
      <c r="D1" s="1" t="s">
        <v>94</v>
      </c>
    </row>
    <row r="2" spans="1:4" x14ac:dyDescent="0.2">
      <c r="A2" s="1" t="s">
        <v>49</v>
      </c>
      <c r="B2" s="3" t="s">
        <v>2</v>
      </c>
      <c r="C2" s="1">
        <v>4.0199999999999996</v>
      </c>
      <c r="D2" s="1" t="s">
        <v>106</v>
      </c>
    </row>
    <row r="3" spans="1:4" x14ac:dyDescent="0.2">
      <c r="A3" s="1" t="s">
        <v>43</v>
      </c>
      <c r="B3" s="5" t="s">
        <v>48</v>
      </c>
      <c r="C3" s="1">
        <v>4.0199999999999996</v>
      </c>
      <c r="D3" s="1" t="s">
        <v>115</v>
      </c>
    </row>
    <row r="4" spans="1:4" x14ac:dyDescent="0.2">
      <c r="A4" s="1" t="s">
        <v>50</v>
      </c>
      <c r="B4" s="1" t="s">
        <v>46</v>
      </c>
      <c r="C4" s="1">
        <v>2.4</v>
      </c>
      <c r="D4" s="17" t="s">
        <v>110</v>
      </c>
    </row>
    <row r="5" spans="1:4" x14ac:dyDescent="0.2">
      <c r="A5" s="1" t="s">
        <v>51</v>
      </c>
      <c r="B5" s="3" t="s">
        <v>3</v>
      </c>
      <c r="C5" s="1">
        <v>1.1499999999999999</v>
      </c>
      <c r="D5" s="2" t="s">
        <v>107</v>
      </c>
    </row>
    <row r="6" spans="1:4" x14ac:dyDescent="0.2">
      <c r="A6" s="1" t="s">
        <v>83</v>
      </c>
      <c r="B6" s="3" t="s">
        <v>62</v>
      </c>
      <c r="C6" s="1">
        <v>1.73</v>
      </c>
      <c r="D6" s="17" t="s">
        <v>108</v>
      </c>
    </row>
    <row r="7" spans="1:4" x14ac:dyDescent="0.2">
      <c r="A7" s="1" t="s">
        <v>13</v>
      </c>
      <c r="B7" s="3" t="s">
        <v>32</v>
      </c>
      <c r="C7" s="1">
        <v>1.29</v>
      </c>
      <c r="D7" s="2" t="s">
        <v>109</v>
      </c>
    </row>
    <row r="8" spans="1:4" x14ac:dyDescent="0.2">
      <c r="A8" s="1" t="s">
        <v>31</v>
      </c>
      <c r="B8" s="3" t="s">
        <v>63</v>
      </c>
      <c r="C8" s="1">
        <v>3.05</v>
      </c>
      <c r="D8" s="1" t="s">
        <v>95</v>
      </c>
    </row>
    <row r="9" spans="1:4" x14ac:dyDescent="0.2">
      <c r="A9" s="1" t="s">
        <v>31</v>
      </c>
      <c r="B9" s="3" t="s">
        <v>33</v>
      </c>
      <c r="C9" s="1">
        <v>2</v>
      </c>
      <c r="D9" s="2" t="s">
        <v>113</v>
      </c>
    </row>
    <row r="10" spans="1:4" x14ac:dyDescent="0.2">
      <c r="A10" s="1" t="s">
        <v>31</v>
      </c>
      <c r="B10" s="3" t="s">
        <v>54</v>
      </c>
      <c r="C10" s="1">
        <v>2</v>
      </c>
      <c r="D10" s="2" t="s">
        <v>113</v>
      </c>
    </row>
    <row r="11" spans="1:4" x14ac:dyDescent="0.2">
      <c r="A11" s="1" t="s">
        <v>35</v>
      </c>
      <c r="B11" s="3" t="s">
        <v>61</v>
      </c>
      <c r="C11" s="1">
        <v>2.4</v>
      </c>
      <c r="D11" s="17" t="s">
        <v>110</v>
      </c>
    </row>
    <row r="12" spans="1:4" x14ac:dyDescent="0.2">
      <c r="A12" s="1" t="s">
        <v>35</v>
      </c>
      <c r="B12" s="5" t="s">
        <v>64</v>
      </c>
      <c r="C12" s="1">
        <v>2.4</v>
      </c>
      <c r="D12" s="17" t="s">
        <v>110</v>
      </c>
    </row>
    <row r="13" spans="1:4" x14ac:dyDescent="0.2">
      <c r="A13" s="1" t="s">
        <v>34</v>
      </c>
      <c r="B13" s="3" t="s">
        <v>65</v>
      </c>
      <c r="C13" s="1">
        <v>2.39</v>
      </c>
      <c r="D13" s="2" t="s">
        <v>111</v>
      </c>
    </row>
    <row r="14" spans="1:4" x14ac:dyDescent="0.2">
      <c r="A14" s="1" t="s">
        <v>34</v>
      </c>
      <c r="B14" s="3" t="s">
        <v>53</v>
      </c>
      <c r="C14" s="1">
        <v>2.5099999999999998</v>
      </c>
      <c r="D14" s="1" t="s">
        <v>114</v>
      </c>
    </row>
    <row r="15" spans="1:4" x14ac:dyDescent="0.2">
      <c r="A15" s="1" t="s">
        <v>34</v>
      </c>
      <c r="B15" s="3" t="s">
        <v>52</v>
      </c>
      <c r="C15" s="1">
        <v>1.64</v>
      </c>
      <c r="D15" s="17" t="s">
        <v>112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a_b_estimates</vt:lpstr>
      <vt:lpstr>B_PB_alpha</vt:lpstr>
      <vt:lpstr>respiration</vt:lpstr>
      <vt:lpstr>mortality</vt:lpstr>
      <vt:lpstr>edgelist</vt:lpstr>
      <vt:lpstr>SIA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Waffender</dc:creator>
  <cp:lastModifiedBy>Anna Waffender</cp:lastModifiedBy>
  <dcterms:created xsi:type="dcterms:W3CDTF">2025-02-26T12:05:50Z</dcterms:created>
  <dcterms:modified xsi:type="dcterms:W3CDTF">2026-07-16T08:48:40Z</dcterms:modified>
</cp:coreProperties>
</file>