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Github/network_stability_heatwaves_ENA_M_out/dataframes/"/>
    </mc:Choice>
  </mc:AlternateContent>
  <xr:revisionPtr revIDLastSave="0" documentId="13_ncr:1_{C7758E6E-76DB-E843-B7C3-54A65453B88B}" xr6:coauthVersionLast="47" xr6:coauthVersionMax="47" xr10:uidLastSave="{00000000-0000-0000-0000-000000000000}"/>
  <bookViews>
    <workbookView xWindow="0" yWindow="760" windowWidth="29300" windowHeight="17700" activeTab="4" xr2:uid="{00000000-000D-0000-FFFF-FFFF00000000}"/>
  </bookViews>
  <sheets>
    <sheet name="step1" sheetId="1" r:id="rId1"/>
    <sheet name="IS" sheetId="4" r:id="rId2"/>
    <sheet name="GS" sheetId="3" r:id="rId3"/>
    <sheet name="LL" sheetId="2" r:id="rId4"/>
    <sheet name="consumers_clea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3" i="6" l="1"/>
  <c r="N43" i="6"/>
  <c r="M43" i="6"/>
  <c r="V43" i="6" s="1"/>
  <c r="L43" i="6"/>
  <c r="K43" i="6"/>
  <c r="U42" i="6"/>
  <c r="N42" i="6"/>
  <c r="M42" i="6"/>
  <c r="O42" i="6" s="1"/>
  <c r="L42" i="6"/>
  <c r="K42" i="6"/>
  <c r="U41" i="6"/>
  <c r="O41" i="6"/>
  <c r="N41" i="6"/>
  <c r="M41" i="6"/>
  <c r="L41" i="6"/>
  <c r="K41" i="6"/>
  <c r="U40" i="6"/>
  <c r="N40" i="6"/>
  <c r="M40" i="6"/>
  <c r="L40" i="6"/>
  <c r="K40" i="6"/>
  <c r="U39" i="6"/>
  <c r="N39" i="6"/>
  <c r="M39" i="6"/>
  <c r="V39" i="6" s="1"/>
  <c r="L39" i="6"/>
  <c r="K39" i="6"/>
  <c r="U38" i="6"/>
  <c r="N38" i="6"/>
  <c r="M38" i="6"/>
  <c r="L38" i="6"/>
  <c r="K38" i="6"/>
  <c r="U37" i="6"/>
  <c r="N37" i="6"/>
  <c r="M37" i="6"/>
  <c r="L37" i="6"/>
  <c r="K37" i="6"/>
  <c r="U36" i="6"/>
  <c r="N36" i="6"/>
  <c r="M36" i="6"/>
  <c r="V36" i="6" s="1"/>
  <c r="L36" i="6"/>
  <c r="K36" i="6"/>
  <c r="U35" i="6"/>
  <c r="N35" i="6"/>
  <c r="M35" i="6"/>
  <c r="L35" i="6"/>
  <c r="K35" i="6"/>
  <c r="U34" i="6"/>
  <c r="N34" i="6"/>
  <c r="M34" i="6"/>
  <c r="L34" i="6"/>
  <c r="K34" i="6"/>
  <c r="U33" i="6"/>
  <c r="N33" i="6"/>
  <c r="M33" i="6"/>
  <c r="V33" i="6" s="1"/>
  <c r="L33" i="6"/>
  <c r="K33" i="6"/>
  <c r="U32" i="6"/>
  <c r="N32" i="6"/>
  <c r="M32" i="6"/>
  <c r="L32" i="6"/>
  <c r="K32" i="6"/>
  <c r="U31" i="6"/>
  <c r="N31" i="6"/>
  <c r="M31" i="6"/>
  <c r="L31" i="6"/>
  <c r="K31" i="6"/>
  <c r="U30" i="6"/>
  <c r="N30" i="6"/>
  <c r="M30" i="6"/>
  <c r="L30" i="6"/>
  <c r="K30" i="6"/>
  <c r="U29" i="6"/>
  <c r="N29" i="6"/>
  <c r="M29" i="6"/>
  <c r="L29" i="6"/>
  <c r="K29" i="6"/>
  <c r="U28" i="6"/>
  <c r="N28" i="6"/>
  <c r="M28" i="6"/>
  <c r="V28" i="6" s="1"/>
  <c r="L28" i="6"/>
  <c r="K28" i="6"/>
  <c r="U27" i="6"/>
  <c r="N27" i="6"/>
  <c r="M27" i="6"/>
  <c r="L27" i="6"/>
  <c r="K27" i="6"/>
  <c r="U26" i="6"/>
  <c r="N26" i="6"/>
  <c r="M26" i="6"/>
  <c r="L26" i="6"/>
  <c r="K26" i="6"/>
  <c r="U25" i="6"/>
  <c r="N25" i="6"/>
  <c r="M25" i="6"/>
  <c r="L25" i="6"/>
  <c r="K25" i="6"/>
  <c r="U24" i="6"/>
  <c r="N24" i="6"/>
  <c r="M24" i="6"/>
  <c r="L24" i="6"/>
  <c r="K24" i="6"/>
  <c r="U23" i="6"/>
  <c r="N23" i="6"/>
  <c r="M23" i="6"/>
  <c r="L23" i="6"/>
  <c r="K23" i="6"/>
  <c r="U22" i="6"/>
  <c r="N22" i="6"/>
  <c r="M22" i="6"/>
  <c r="L22" i="6"/>
  <c r="K22" i="6"/>
  <c r="U21" i="6"/>
  <c r="N21" i="6"/>
  <c r="M21" i="6"/>
  <c r="L21" i="6"/>
  <c r="O21" i="6" s="1"/>
  <c r="K21" i="6"/>
  <c r="U20" i="6"/>
  <c r="N20" i="6"/>
  <c r="M20" i="6"/>
  <c r="L20" i="6"/>
  <c r="K20" i="6"/>
  <c r="U19" i="6"/>
  <c r="N19" i="6"/>
  <c r="M19" i="6"/>
  <c r="L19" i="6"/>
  <c r="O19" i="6" s="1"/>
  <c r="K19" i="6"/>
  <c r="U18" i="6"/>
  <c r="N18" i="6"/>
  <c r="M18" i="6"/>
  <c r="V18" i="6" s="1"/>
  <c r="L18" i="6"/>
  <c r="K18" i="6"/>
  <c r="U17" i="6"/>
  <c r="N17" i="6"/>
  <c r="M17" i="6"/>
  <c r="L17" i="6"/>
  <c r="K17" i="6"/>
  <c r="U16" i="6"/>
  <c r="N16" i="6"/>
  <c r="M16" i="6"/>
  <c r="L16" i="6"/>
  <c r="K16" i="6"/>
  <c r="U15" i="6"/>
  <c r="N15" i="6"/>
  <c r="M15" i="6"/>
  <c r="L15" i="6"/>
  <c r="K15" i="6"/>
  <c r="U14" i="6"/>
  <c r="N14" i="6"/>
  <c r="M14" i="6"/>
  <c r="V14" i="6" s="1"/>
  <c r="L14" i="6"/>
  <c r="K14" i="6"/>
  <c r="U13" i="6"/>
  <c r="N13" i="6"/>
  <c r="M13" i="6"/>
  <c r="L13" i="6"/>
  <c r="K13" i="6"/>
  <c r="U12" i="6"/>
  <c r="N12" i="6"/>
  <c r="M12" i="6"/>
  <c r="L12" i="6"/>
  <c r="K12" i="6"/>
  <c r="U11" i="6"/>
  <c r="N11" i="6"/>
  <c r="M11" i="6"/>
  <c r="V11" i="6" s="1"/>
  <c r="L11" i="6"/>
  <c r="K11" i="6"/>
  <c r="U10" i="6"/>
  <c r="N10" i="6"/>
  <c r="M10" i="6"/>
  <c r="L10" i="6"/>
  <c r="K10" i="6"/>
  <c r="U9" i="6"/>
  <c r="N9" i="6"/>
  <c r="M9" i="6"/>
  <c r="O9" i="6" s="1"/>
  <c r="L9" i="6"/>
  <c r="K9" i="6"/>
  <c r="U8" i="6"/>
  <c r="N8" i="6"/>
  <c r="M8" i="6"/>
  <c r="L8" i="6"/>
  <c r="K8" i="6"/>
  <c r="U7" i="6"/>
  <c r="N7" i="6"/>
  <c r="M7" i="6"/>
  <c r="L7" i="6"/>
  <c r="K7" i="6"/>
  <c r="U6" i="6"/>
  <c r="N6" i="6"/>
  <c r="M6" i="6"/>
  <c r="L6" i="6"/>
  <c r="K6" i="6"/>
  <c r="U5" i="6"/>
  <c r="N5" i="6"/>
  <c r="M5" i="6"/>
  <c r="L5" i="6"/>
  <c r="K5" i="6"/>
  <c r="U4" i="6"/>
  <c r="N4" i="6"/>
  <c r="M4" i="6"/>
  <c r="L4" i="6"/>
  <c r="K4" i="6"/>
  <c r="U3" i="6"/>
  <c r="N3" i="6"/>
  <c r="M3" i="6"/>
  <c r="L3" i="6"/>
  <c r="K3" i="6"/>
  <c r="U2" i="6"/>
  <c r="N2" i="6"/>
  <c r="M2" i="6"/>
  <c r="L2" i="6"/>
  <c r="K2" i="6"/>
  <c r="V40" i="6" l="1"/>
  <c r="V10" i="6"/>
  <c r="V29" i="6"/>
  <c r="O4" i="6"/>
  <c r="O28" i="6"/>
  <c r="V3" i="6"/>
  <c r="V8" i="6"/>
  <c r="O30" i="6"/>
  <c r="V16" i="6"/>
  <c r="V24" i="6"/>
  <c r="V31" i="6"/>
  <c r="O33" i="6"/>
  <c r="O34" i="6"/>
  <c r="O36" i="6"/>
  <c r="V37" i="6"/>
  <c r="V41" i="6"/>
  <c r="V32" i="6"/>
  <c r="O38" i="6"/>
  <c r="V17" i="6"/>
  <c r="V22" i="6"/>
  <c r="V25" i="6"/>
  <c r="V27" i="6"/>
  <c r="V35" i="6"/>
  <c r="V6" i="6"/>
  <c r="V9" i="6"/>
  <c r="V15" i="6"/>
  <c r="V26" i="6"/>
  <c r="O29" i="6"/>
  <c r="O32" i="6"/>
  <c r="O37" i="6"/>
  <c r="O40" i="6"/>
  <c r="V5" i="6"/>
  <c r="O8" i="6"/>
  <c r="V12" i="6"/>
  <c r="O14" i="6"/>
  <c r="V2" i="6"/>
  <c r="V4" i="6"/>
  <c r="O5" i="6"/>
  <c r="V7" i="6"/>
  <c r="V13" i="6"/>
  <c r="O17" i="6"/>
  <c r="V19" i="6"/>
  <c r="V20" i="6"/>
  <c r="V21" i="6"/>
  <c r="O22" i="6"/>
  <c r="V23" i="6"/>
  <c r="O25" i="6"/>
  <c r="V30" i="6"/>
  <c r="V34" i="6"/>
  <c r="V38" i="6"/>
  <c r="V42" i="6"/>
  <c r="O3" i="6"/>
  <c r="O7" i="6"/>
  <c r="O11" i="6"/>
  <c r="O12" i="6"/>
  <c r="O13" i="6"/>
  <c r="O15" i="6"/>
  <c r="O16" i="6"/>
  <c r="O24" i="6"/>
  <c r="O26" i="6"/>
  <c r="O2" i="6"/>
  <c r="O6" i="6"/>
  <c r="O10" i="6"/>
  <c r="O18" i="6"/>
  <c r="O20" i="6"/>
  <c r="O23" i="6"/>
  <c r="O27" i="6"/>
  <c r="O31" i="6"/>
  <c r="O35" i="6"/>
  <c r="O39" i="6"/>
  <c r="O43" i="6"/>
  <c r="U7" i="4" l="1"/>
  <c r="Z2" i="4" s="1"/>
  <c r="U4" i="4"/>
  <c r="Z4" i="4" s="1"/>
  <c r="U2" i="1"/>
  <c r="N22" i="4"/>
  <c r="M22" i="4"/>
  <c r="U22" i="4" s="1"/>
  <c r="L22" i="4"/>
  <c r="K22" i="4"/>
  <c r="N21" i="4"/>
  <c r="M21" i="4"/>
  <c r="U21" i="4" s="1"/>
  <c r="L21" i="4"/>
  <c r="K21" i="4"/>
  <c r="N20" i="4"/>
  <c r="M20" i="4"/>
  <c r="U20" i="4" s="1"/>
  <c r="L20" i="4"/>
  <c r="K20" i="4"/>
  <c r="N19" i="4"/>
  <c r="M19" i="4"/>
  <c r="U19" i="4" s="1"/>
  <c r="L19" i="4"/>
  <c r="K19" i="4"/>
  <c r="N18" i="4"/>
  <c r="M18" i="4"/>
  <c r="U18" i="4" s="1"/>
  <c r="L18" i="4"/>
  <c r="K18" i="4"/>
  <c r="N17" i="4"/>
  <c r="M17" i="4"/>
  <c r="U17" i="4" s="1"/>
  <c r="L17" i="4"/>
  <c r="K17" i="4"/>
  <c r="N16" i="4"/>
  <c r="M16" i="4"/>
  <c r="U16" i="4" s="1"/>
  <c r="L16" i="4"/>
  <c r="K16" i="4"/>
  <c r="N15" i="4"/>
  <c r="M15" i="4"/>
  <c r="U15" i="4" s="1"/>
  <c r="AA5" i="4" s="1"/>
  <c r="L15" i="4"/>
  <c r="K15" i="4"/>
  <c r="N14" i="4"/>
  <c r="M14" i="4"/>
  <c r="U14" i="4" s="1"/>
  <c r="L14" i="4"/>
  <c r="K14" i="4"/>
  <c r="N13" i="4"/>
  <c r="M13" i="4"/>
  <c r="U13" i="4" s="1"/>
  <c r="L13" i="4"/>
  <c r="K13" i="4"/>
  <c r="N12" i="4"/>
  <c r="M12" i="4"/>
  <c r="U12" i="4" s="1"/>
  <c r="L12" i="4"/>
  <c r="K12" i="4"/>
  <c r="N11" i="4"/>
  <c r="M11" i="4"/>
  <c r="U11" i="4" s="1"/>
  <c r="L11" i="4"/>
  <c r="K11" i="4"/>
  <c r="N10" i="4"/>
  <c r="M10" i="4"/>
  <c r="U10" i="4" s="1"/>
  <c r="L10" i="4"/>
  <c r="K10" i="4"/>
  <c r="N9" i="4"/>
  <c r="M9" i="4"/>
  <c r="U9" i="4" s="1"/>
  <c r="L9" i="4"/>
  <c r="K9" i="4"/>
  <c r="N8" i="4"/>
  <c r="M8" i="4"/>
  <c r="U8" i="4" s="1"/>
  <c r="L8" i="4"/>
  <c r="K8" i="4"/>
  <c r="N7" i="4"/>
  <c r="M7" i="4"/>
  <c r="L7" i="4"/>
  <c r="K7" i="4"/>
  <c r="N6" i="4"/>
  <c r="M6" i="4"/>
  <c r="U6" i="4" s="1"/>
  <c r="L6" i="4"/>
  <c r="K6" i="4"/>
  <c r="N5" i="4"/>
  <c r="M5" i="4"/>
  <c r="U5" i="4" s="1"/>
  <c r="L5" i="4"/>
  <c r="K5" i="4"/>
  <c r="N4" i="4"/>
  <c r="M4" i="4"/>
  <c r="L4" i="4"/>
  <c r="K4" i="4"/>
  <c r="N3" i="4"/>
  <c r="M3" i="4"/>
  <c r="U3" i="4" s="1"/>
  <c r="L3" i="4"/>
  <c r="K3" i="4"/>
  <c r="N2" i="4"/>
  <c r="M2" i="4"/>
  <c r="U2" i="4" s="1"/>
  <c r="L2" i="4"/>
  <c r="K2" i="4"/>
  <c r="U4" i="3"/>
  <c r="U5" i="3"/>
  <c r="U8" i="3"/>
  <c r="U13" i="3"/>
  <c r="U14" i="3"/>
  <c r="U16" i="3"/>
  <c r="U17" i="3"/>
  <c r="U20" i="3"/>
  <c r="U21" i="3"/>
  <c r="U26" i="3"/>
  <c r="U29" i="3"/>
  <c r="U32" i="3"/>
  <c r="U33" i="3"/>
  <c r="U2" i="3"/>
  <c r="N37" i="3"/>
  <c r="M37" i="3"/>
  <c r="U37" i="3" s="1"/>
  <c r="L37" i="3"/>
  <c r="K37" i="3"/>
  <c r="N36" i="3"/>
  <c r="M36" i="3"/>
  <c r="U36" i="3" s="1"/>
  <c r="L36" i="3"/>
  <c r="K36" i="3"/>
  <c r="N35" i="3"/>
  <c r="M35" i="3"/>
  <c r="U35" i="3" s="1"/>
  <c r="L35" i="3"/>
  <c r="K35" i="3"/>
  <c r="N34" i="3"/>
  <c r="M34" i="3"/>
  <c r="U34" i="3" s="1"/>
  <c r="L34" i="3"/>
  <c r="K34" i="3"/>
  <c r="N33" i="3"/>
  <c r="M33" i="3"/>
  <c r="L33" i="3"/>
  <c r="K33" i="3"/>
  <c r="N32" i="3"/>
  <c r="M32" i="3"/>
  <c r="L32" i="3"/>
  <c r="K32" i="3"/>
  <c r="N31" i="3"/>
  <c r="M31" i="3"/>
  <c r="U31" i="3" s="1"/>
  <c r="L31" i="3"/>
  <c r="K31" i="3"/>
  <c r="N30" i="3"/>
  <c r="M30" i="3"/>
  <c r="U30" i="3" s="1"/>
  <c r="L30" i="3"/>
  <c r="K30" i="3"/>
  <c r="N29" i="3"/>
  <c r="M29" i="3"/>
  <c r="L29" i="3"/>
  <c r="K29" i="3"/>
  <c r="N28" i="3"/>
  <c r="M28" i="3"/>
  <c r="U28" i="3" s="1"/>
  <c r="L28" i="3"/>
  <c r="K28" i="3"/>
  <c r="N27" i="3"/>
  <c r="M27" i="3"/>
  <c r="U27" i="3" s="1"/>
  <c r="L27" i="3"/>
  <c r="K27" i="3"/>
  <c r="N26" i="3"/>
  <c r="M26" i="3"/>
  <c r="L26" i="3"/>
  <c r="K26" i="3"/>
  <c r="N25" i="3"/>
  <c r="M25" i="3"/>
  <c r="U25" i="3" s="1"/>
  <c r="L25" i="3"/>
  <c r="K25" i="3"/>
  <c r="N24" i="3"/>
  <c r="M24" i="3"/>
  <c r="U24" i="3" s="1"/>
  <c r="L24" i="3"/>
  <c r="K24" i="3"/>
  <c r="N23" i="3"/>
  <c r="M23" i="3"/>
  <c r="U23" i="3" s="1"/>
  <c r="L23" i="3"/>
  <c r="K23" i="3"/>
  <c r="N22" i="3"/>
  <c r="M22" i="3"/>
  <c r="U22" i="3" s="1"/>
  <c r="L22" i="3"/>
  <c r="K22" i="3"/>
  <c r="N21" i="3"/>
  <c r="M21" i="3"/>
  <c r="L21" i="3"/>
  <c r="K21" i="3"/>
  <c r="N20" i="3"/>
  <c r="M20" i="3"/>
  <c r="L20" i="3"/>
  <c r="K20" i="3"/>
  <c r="N19" i="3"/>
  <c r="M19" i="3"/>
  <c r="U19" i="3" s="1"/>
  <c r="L19" i="3"/>
  <c r="K19" i="3"/>
  <c r="N18" i="3"/>
  <c r="M18" i="3"/>
  <c r="U18" i="3" s="1"/>
  <c r="L18" i="3"/>
  <c r="K18" i="3"/>
  <c r="N17" i="3"/>
  <c r="M17" i="3"/>
  <c r="L17" i="3"/>
  <c r="K17" i="3"/>
  <c r="N16" i="3"/>
  <c r="M16" i="3"/>
  <c r="L16" i="3"/>
  <c r="K16" i="3"/>
  <c r="N15" i="3"/>
  <c r="M15" i="3"/>
  <c r="U15" i="3" s="1"/>
  <c r="L15" i="3"/>
  <c r="K15" i="3"/>
  <c r="N14" i="3"/>
  <c r="M14" i="3"/>
  <c r="L14" i="3"/>
  <c r="K14" i="3"/>
  <c r="N13" i="3"/>
  <c r="M13" i="3"/>
  <c r="L13" i="3"/>
  <c r="K13" i="3"/>
  <c r="N12" i="3"/>
  <c r="M12" i="3"/>
  <c r="U12" i="3" s="1"/>
  <c r="L12" i="3"/>
  <c r="K12" i="3"/>
  <c r="N11" i="3"/>
  <c r="M11" i="3"/>
  <c r="U11" i="3" s="1"/>
  <c r="L11" i="3"/>
  <c r="K11" i="3"/>
  <c r="N10" i="3"/>
  <c r="M10" i="3"/>
  <c r="U10" i="3" s="1"/>
  <c r="L10" i="3"/>
  <c r="K10" i="3"/>
  <c r="N9" i="3"/>
  <c r="M9" i="3"/>
  <c r="U9" i="3" s="1"/>
  <c r="L9" i="3"/>
  <c r="K9" i="3"/>
  <c r="N8" i="3"/>
  <c r="M8" i="3"/>
  <c r="L8" i="3"/>
  <c r="K8" i="3"/>
  <c r="N7" i="3"/>
  <c r="M7" i="3"/>
  <c r="U7" i="3" s="1"/>
  <c r="L7" i="3"/>
  <c r="K7" i="3"/>
  <c r="N6" i="3"/>
  <c r="M6" i="3"/>
  <c r="U6" i="3" s="1"/>
  <c r="L6" i="3"/>
  <c r="K6" i="3"/>
  <c r="N5" i="3"/>
  <c r="M5" i="3"/>
  <c r="L5" i="3"/>
  <c r="K5" i="3"/>
  <c r="N4" i="3"/>
  <c r="M4" i="3"/>
  <c r="L4" i="3"/>
  <c r="K4" i="3"/>
  <c r="N3" i="3"/>
  <c r="M3" i="3"/>
  <c r="U3" i="3" s="1"/>
  <c r="AA4" i="3" s="1"/>
  <c r="L3" i="3"/>
  <c r="K3" i="3"/>
  <c r="N2" i="3"/>
  <c r="M2" i="3"/>
  <c r="L2" i="3"/>
  <c r="K2" i="3"/>
  <c r="U18" i="2"/>
  <c r="N18" i="2"/>
  <c r="M18" i="2"/>
  <c r="L18" i="2"/>
  <c r="K18" i="2"/>
  <c r="N17" i="2"/>
  <c r="M17" i="2"/>
  <c r="U17" i="2" s="1"/>
  <c r="L17" i="2"/>
  <c r="K17" i="2"/>
  <c r="N16" i="2"/>
  <c r="M16" i="2"/>
  <c r="U16" i="2" s="1"/>
  <c r="L16" i="2"/>
  <c r="K16" i="2"/>
  <c r="N15" i="2"/>
  <c r="M15" i="2"/>
  <c r="U15" i="2" s="1"/>
  <c r="Z2" i="2" s="1"/>
  <c r="L15" i="2"/>
  <c r="K15" i="2"/>
  <c r="N14" i="2"/>
  <c r="M14" i="2"/>
  <c r="U14" i="2" s="1"/>
  <c r="L14" i="2"/>
  <c r="K14" i="2"/>
  <c r="N13" i="2"/>
  <c r="M13" i="2"/>
  <c r="U13" i="2" s="1"/>
  <c r="AA3" i="2" s="1"/>
  <c r="L13" i="2"/>
  <c r="K13" i="2"/>
  <c r="N12" i="2"/>
  <c r="M12" i="2"/>
  <c r="U12" i="2" s="1"/>
  <c r="AA4" i="2" s="1"/>
  <c r="L12" i="2"/>
  <c r="K12" i="2"/>
  <c r="N11" i="2"/>
  <c r="M11" i="2"/>
  <c r="U11" i="2" s="1"/>
  <c r="L11" i="2"/>
  <c r="K11" i="2"/>
  <c r="N10" i="2"/>
  <c r="M10" i="2"/>
  <c r="U10" i="2" s="1"/>
  <c r="L10" i="2"/>
  <c r="K10" i="2"/>
  <c r="N9" i="2"/>
  <c r="M9" i="2"/>
  <c r="U9" i="2" s="1"/>
  <c r="L9" i="2"/>
  <c r="K9" i="2"/>
  <c r="N8" i="2"/>
  <c r="M8" i="2"/>
  <c r="U8" i="2" s="1"/>
  <c r="L8" i="2"/>
  <c r="K8" i="2"/>
  <c r="N7" i="2"/>
  <c r="M7" i="2"/>
  <c r="U7" i="2" s="1"/>
  <c r="L7" i="2"/>
  <c r="K7" i="2"/>
  <c r="N6" i="2"/>
  <c r="M6" i="2"/>
  <c r="U6" i="2" s="1"/>
  <c r="L6" i="2"/>
  <c r="K6" i="2"/>
  <c r="N5" i="2"/>
  <c r="M5" i="2"/>
  <c r="U5" i="2" s="1"/>
  <c r="L5" i="2"/>
  <c r="K5" i="2"/>
  <c r="N4" i="2"/>
  <c r="M4" i="2"/>
  <c r="U4" i="2" s="1"/>
  <c r="AA5" i="2" s="1"/>
  <c r="L4" i="2"/>
  <c r="K4" i="2"/>
  <c r="N3" i="2"/>
  <c r="M3" i="2"/>
  <c r="U3" i="2" s="1"/>
  <c r="L3" i="2"/>
  <c r="K3" i="2"/>
  <c r="N2" i="2"/>
  <c r="M2" i="2"/>
  <c r="U2" i="2" s="1"/>
  <c r="L2" i="2"/>
  <c r="K2" i="2"/>
  <c r="AA5" i="3" l="1"/>
  <c r="Z5" i="3"/>
  <c r="Z4" i="3"/>
  <c r="Z5" i="4"/>
  <c r="AA3" i="3"/>
  <c r="Z3" i="3"/>
  <c r="AA2" i="3"/>
  <c r="Z3" i="4"/>
  <c r="AA3" i="4"/>
  <c r="Z4" i="2"/>
  <c r="Z3" i="2"/>
  <c r="AA2" i="4"/>
  <c r="AA4" i="4"/>
  <c r="AA2" i="2"/>
  <c r="Z2" i="3"/>
  <c r="Z5" i="2"/>
  <c r="O7" i="4"/>
  <c r="O8" i="4"/>
  <c r="O16" i="4"/>
  <c r="O17" i="4"/>
  <c r="O19" i="4"/>
  <c r="O20" i="4"/>
  <c r="O21" i="4"/>
  <c r="O6" i="4"/>
  <c r="O9" i="4"/>
  <c r="O12" i="4"/>
  <c r="O13" i="4"/>
  <c r="O14" i="4"/>
  <c r="O15" i="4"/>
  <c r="O2" i="4"/>
  <c r="O3" i="4"/>
  <c r="O4" i="4"/>
  <c r="O18" i="4"/>
  <c r="O10" i="4"/>
  <c r="O5" i="4"/>
  <c r="O11" i="4"/>
  <c r="O22" i="4"/>
  <c r="O29" i="3"/>
  <c r="O2" i="3"/>
  <c r="O9" i="3"/>
  <c r="O15" i="3"/>
  <c r="O16" i="3"/>
  <c r="O21" i="3"/>
  <c r="O23" i="3"/>
  <c r="O26" i="3"/>
  <c r="O34" i="3"/>
  <c r="O4" i="3"/>
  <c r="O6" i="3"/>
  <c r="O7" i="3"/>
  <c r="O11" i="3"/>
  <c r="O13" i="3"/>
  <c r="O32" i="3"/>
  <c r="O10" i="3"/>
  <c r="O8" i="3"/>
  <c r="O20" i="3"/>
  <c r="O27" i="3"/>
  <c r="O37" i="3"/>
  <c r="O24" i="3"/>
  <c r="O25" i="3"/>
  <c r="O12" i="3"/>
  <c r="O17" i="3"/>
  <c r="O18" i="3"/>
  <c r="O28" i="3"/>
  <c r="O31" i="3"/>
  <c r="O35" i="3"/>
  <c r="O30" i="3"/>
  <c r="O33" i="3"/>
  <c r="O3" i="3"/>
  <c r="O5" i="3"/>
  <c r="O14" i="3"/>
  <c r="O19" i="3"/>
  <c r="O22" i="3"/>
  <c r="O36" i="3"/>
  <c r="O12" i="2"/>
  <c r="O8" i="2"/>
  <c r="O13" i="2"/>
  <c r="O15" i="2"/>
  <c r="O5" i="2"/>
  <c r="O10" i="2"/>
  <c r="O9" i="2"/>
  <c r="O2" i="2"/>
  <c r="O7" i="2"/>
  <c r="O16" i="2"/>
  <c r="O6" i="2"/>
  <c r="O11" i="2"/>
  <c r="O3" i="2"/>
  <c r="O4" i="2"/>
  <c r="O14" i="2"/>
  <c r="O17" i="2"/>
  <c r="O18" i="2"/>
  <c r="N254" i="1" l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O251" i="1" s="1"/>
  <c r="L251" i="1"/>
  <c r="K251" i="1"/>
  <c r="N250" i="1"/>
  <c r="M250" i="1"/>
  <c r="L250" i="1"/>
  <c r="K250" i="1"/>
  <c r="N249" i="1"/>
  <c r="M249" i="1"/>
  <c r="O249" i="1" s="1"/>
  <c r="L249" i="1"/>
  <c r="K249" i="1"/>
  <c r="O248" i="1"/>
  <c r="N248" i="1"/>
  <c r="M248" i="1"/>
  <c r="L248" i="1"/>
  <c r="K248" i="1"/>
  <c r="N247" i="1"/>
  <c r="M247" i="1"/>
  <c r="O247" i="1" s="1"/>
  <c r="L247" i="1"/>
  <c r="K247" i="1"/>
  <c r="N246" i="1"/>
  <c r="M246" i="1"/>
  <c r="L246" i="1"/>
  <c r="O246" i="1" s="1"/>
  <c r="K246" i="1"/>
  <c r="N245" i="1"/>
  <c r="M245" i="1"/>
  <c r="L245" i="1"/>
  <c r="K245" i="1"/>
  <c r="N244" i="1"/>
  <c r="M244" i="1"/>
  <c r="L244" i="1"/>
  <c r="K244" i="1"/>
  <c r="N243" i="1"/>
  <c r="M243" i="1"/>
  <c r="L243" i="1"/>
  <c r="O243" i="1" s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O239" i="1" s="1"/>
  <c r="K239" i="1"/>
  <c r="N238" i="1"/>
  <c r="M238" i="1"/>
  <c r="O238" i="1" s="1"/>
  <c r="L238" i="1"/>
  <c r="K238" i="1"/>
  <c r="N237" i="1"/>
  <c r="M237" i="1"/>
  <c r="O237" i="1" s="1"/>
  <c r="L237" i="1"/>
  <c r="K237" i="1"/>
  <c r="N236" i="1"/>
  <c r="M236" i="1"/>
  <c r="O236" i="1" s="1"/>
  <c r="L236" i="1"/>
  <c r="K236" i="1"/>
  <c r="N235" i="1"/>
  <c r="M235" i="1"/>
  <c r="L235" i="1"/>
  <c r="K235" i="1"/>
  <c r="N234" i="1"/>
  <c r="M234" i="1"/>
  <c r="O234" i="1" s="1"/>
  <c r="L234" i="1"/>
  <c r="K234" i="1"/>
  <c r="N233" i="1"/>
  <c r="M233" i="1"/>
  <c r="L233" i="1"/>
  <c r="K233" i="1"/>
  <c r="N232" i="1"/>
  <c r="M232" i="1"/>
  <c r="O232" i="1" s="1"/>
  <c r="L232" i="1"/>
  <c r="K232" i="1"/>
  <c r="N231" i="1"/>
  <c r="M231" i="1"/>
  <c r="L231" i="1"/>
  <c r="K231" i="1"/>
  <c r="N230" i="1"/>
  <c r="M230" i="1"/>
  <c r="O230" i="1" s="1"/>
  <c r="L230" i="1"/>
  <c r="K230" i="1"/>
  <c r="N229" i="1"/>
  <c r="M229" i="1"/>
  <c r="O229" i="1" s="1"/>
  <c r="L229" i="1"/>
  <c r="K229" i="1"/>
  <c r="N228" i="1"/>
  <c r="M228" i="1"/>
  <c r="L228" i="1"/>
  <c r="O228" i="1" s="1"/>
  <c r="K228" i="1"/>
  <c r="N227" i="1"/>
  <c r="M227" i="1"/>
  <c r="L227" i="1"/>
  <c r="O227" i="1" s="1"/>
  <c r="K227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O221" i="1" s="1"/>
  <c r="K221" i="1"/>
  <c r="N220" i="1"/>
  <c r="M220" i="1"/>
  <c r="O220" i="1" s="1"/>
  <c r="L220" i="1"/>
  <c r="K220" i="1"/>
  <c r="N219" i="1"/>
  <c r="M219" i="1"/>
  <c r="L219" i="1"/>
  <c r="K219" i="1"/>
  <c r="N218" i="1"/>
  <c r="M218" i="1"/>
  <c r="O218" i="1" s="1"/>
  <c r="L218" i="1"/>
  <c r="K218" i="1"/>
  <c r="N217" i="1"/>
  <c r="M217" i="1"/>
  <c r="L217" i="1"/>
  <c r="O217" i="1" s="1"/>
  <c r="K217" i="1"/>
  <c r="N216" i="1"/>
  <c r="M216" i="1"/>
  <c r="O216" i="1" s="1"/>
  <c r="L216" i="1"/>
  <c r="K216" i="1"/>
  <c r="N215" i="1"/>
  <c r="M215" i="1"/>
  <c r="O215" i="1" s="1"/>
  <c r="L215" i="1"/>
  <c r="K215" i="1"/>
  <c r="N214" i="1"/>
  <c r="M214" i="1"/>
  <c r="L214" i="1"/>
  <c r="K214" i="1"/>
  <c r="N213" i="1"/>
  <c r="M213" i="1"/>
  <c r="L213" i="1"/>
  <c r="K213" i="1"/>
  <c r="O212" i="1"/>
  <c r="N212" i="1"/>
  <c r="M212" i="1"/>
  <c r="L212" i="1"/>
  <c r="K212" i="1"/>
  <c r="N211" i="1"/>
  <c r="M211" i="1"/>
  <c r="L211" i="1"/>
  <c r="K211" i="1"/>
  <c r="O210" i="1"/>
  <c r="N210" i="1"/>
  <c r="M210" i="1"/>
  <c r="L210" i="1"/>
  <c r="K210" i="1"/>
  <c r="N209" i="1"/>
  <c r="M209" i="1"/>
  <c r="L209" i="1"/>
  <c r="O209" i="1" s="1"/>
  <c r="K209" i="1"/>
  <c r="N208" i="1"/>
  <c r="M208" i="1"/>
  <c r="L208" i="1"/>
  <c r="K208" i="1"/>
  <c r="M207" i="1"/>
  <c r="O207" i="1" s="1"/>
  <c r="L207" i="1"/>
  <c r="M206" i="1"/>
  <c r="L206" i="1"/>
  <c r="N205" i="1"/>
  <c r="M205" i="1"/>
  <c r="L205" i="1"/>
  <c r="O205" i="1" s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O201" i="1" s="1"/>
  <c r="K201" i="1"/>
  <c r="N200" i="1"/>
  <c r="M200" i="1"/>
  <c r="O200" i="1" s="1"/>
  <c r="L200" i="1"/>
  <c r="K200" i="1"/>
  <c r="N199" i="1"/>
  <c r="M199" i="1"/>
  <c r="O199" i="1" s="1"/>
  <c r="L199" i="1"/>
  <c r="K199" i="1"/>
  <c r="N198" i="1"/>
  <c r="M198" i="1"/>
  <c r="O198" i="1" s="1"/>
  <c r="L198" i="1"/>
  <c r="K198" i="1"/>
  <c r="N197" i="1"/>
  <c r="M197" i="1"/>
  <c r="L197" i="1"/>
  <c r="K197" i="1"/>
  <c r="N196" i="1"/>
  <c r="M196" i="1"/>
  <c r="L196" i="1"/>
  <c r="K196" i="1"/>
  <c r="N195" i="1"/>
  <c r="M195" i="1"/>
  <c r="O195" i="1" s="1"/>
  <c r="L195" i="1"/>
  <c r="K195" i="1"/>
  <c r="N194" i="1"/>
  <c r="M194" i="1"/>
  <c r="O194" i="1" s="1"/>
  <c r="L194" i="1"/>
  <c r="K194" i="1"/>
  <c r="N193" i="1"/>
  <c r="M193" i="1"/>
  <c r="L193" i="1"/>
  <c r="O193" i="1" s="1"/>
  <c r="K193" i="1"/>
  <c r="O192" i="1"/>
  <c r="N192" i="1"/>
  <c r="M192" i="1"/>
  <c r="L192" i="1"/>
  <c r="K192" i="1"/>
  <c r="N191" i="1"/>
  <c r="M191" i="1"/>
  <c r="O191" i="1" s="1"/>
  <c r="L191" i="1"/>
  <c r="K191" i="1"/>
  <c r="N190" i="1"/>
  <c r="M190" i="1"/>
  <c r="O190" i="1" s="1"/>
  <c r="L190" i="1"/>
  <c r="K190" i="1"/>
  <c r="N189" i="1"/>
  <c r="M189" i="1"/>
  <c r="L189" i="1"/>
  <c r="O189" i="1" s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O185" i="1" s="1"/>
  <c r="K185" i="1"/>
  <c r="N184" i="1"/>
  <c r="M184" i="1"/>
  <c r="O184" i="1" s="1"/>
  <c r="L184" i="1"/>
  <c r="K184" i="1"/>
  <c r="N183" i="1"/>
  <c r="M183" i="1"/>
  <c r="O183" i="1" s="1"/>
  <c r="L183" i="1"/>
  <c r="K183" i="1"/>
  <c r="N182" i="1"/>
  <c r="M182" i="1"/>
  <c r="O182" i="1" s="1"/>
  <c r="L182" i="1"/>
  <c r="K182" i="1"/>
  <c r="N181" i="1"/>
  <c r="M181" i="1"/>
  <c r="L181" i="1"/>
  <c r="K181" i="1"/>
  <c r="N180" i="1"/>
  <c r="M180" i="1"/>
  <c r="O180" i="1" s="1"/>
  <c r="L180" i="1"/>
  <c r="K180" i="1"/>
  <c r="N179" i="1"/>
  <c r="M179" i="1"/>
  <c r="L179" i="1"/>
  <c r="K179" i="1"/>
  <c r="N178" i="1"/>
  <c r="M178" i="1"/>
  <c r="O178" i="1" s="1"/>
  <c r="L178" i="1"/>
  <c r="K178" i="1"/>
  <c r="N177" i="1"/>
  <c r="M177" i="1"/>
  <c r="L177" i="1"/>
  <c r="K177" i="1"/>
  <c r="N176" i="1"/>
  <c r="M176" i="1"/>
  <c r="L176" i="1"/>
  <c r="O176" i="1" s="1"/>
  <c r="K176" i="1"/>
  <c r="N175" i="1"/>
  <c r="M175" i="1"/>
  <c r="O175" i="1" s="1"/>
  <c r="L175" i="1"/>
  <c r="K175" i="1"/>
  <c r="N174" i="1"/>
  <c r="M174" i="1"/>
  <c r="L174" i="1"/>
  <c r="O174" i="1" s="1"/>
  <c r="K174" i="1"/>
  <c r="N173" i="1"/>
  <c r="M173" i="1"/>
  <c r="L173" i="1"/>
  <c r="O173" i="1" s="1"/>
  <c r="N172" i="1"/>
  <c r="M172" i="1"/>
  <c r="L172" i="1"/>
  <c r="K172" i="1"/>
  <c r="N171" i="1"/>
  <c r="M171" i="1"/>
  <c r="L171" i="1"/>
  <c r="O171" i="1" s="1"/>
  <c r="K171" i="1"/>
  <c r="N170" i="1"/>
  <c r="M170" i="1"/>
  <c r="L170" i="1"/>
  <c r="K170" i="1"/>
  <c r="N169" i="1"/>
  <c r="M169" i="1"/>
  <c r="O169" i="1" s="1"/>
  <c r="L169" i="1"/>
  <c r="K169" i="1"/>
  <c r="N168" i="1"/>
  <c r="M168" i="1"/>
  <c r="L168" i="1"/>
  <c r="K168" i="1"/>
  <c r="N167" i="1"/>
  <c r="M167" i="1"/>
  <c r="L167" i="1"/>
  <c r="K167" i="1"/>
  <c r="N164" i="1"/>
  <c r="M164" i="1"/>
  <c r="O164" i="1" s="1"/>
  <c r="L164" i="1"/>
  <c r="K164" i="1"/>
  <c r="N163" i="1"/>
  <c r="M163" i="1"/>
  <c r="L163" i="1"/>
  <c r="K163" i="1"/>
  <c r="N162" i="1"/>
  <c r="M162" i="1"/>
  <c r="L162" i="1"/>
  <c r="O162" i="1" s="1"/>
  <c r="K162" i="1"/>
  <c r="N161" i="1"/>
  <c r="M161" i="1"/>
  <c r="O161" i="1" s="1"/>
  <c r="L161" i="1"/>
  <c r="K161" i="1"/>
  <c r="N160" i="1"/>
  <c r="M160" i="1"/>
  <c r="O160" i="1" s="1"/>
  <c r="L160" i="1"/>
  <c r="K160" i="1"/>
  <c r="O159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O156" i="1"/>
  <c r="N156" i="1"/>
  <c r="M156" i="1"/>
  <c r="L156" i="1"/>
  <c r="K156" i="1"/>
  <c r="N155" i="1"/>
  <c r="M155" i="1"/>
  <c r="L155" i="1"/>
  <c r="K155" i="1"/>
  <c r="N154" i="1"/>
  <c r="M154" i="1"/>
  <c r="L154" i="1"/>
  <c r="O154" i="1" s="1"/>
  <c r="K154" i="1"/>
  <c r="N153" i="1"/>
  <c r="M153" i="1"/>
  <c r="O153" i="1" s="1"/>
  <c r="L153" i="1"/>
  <c r="K153" i="1"/>
  <c r="N152" i="1"/>
  <c r="M152" i="1"/>
  <c r="L152" i="1"/>
  <c r="K152" i="1"/>
  <c r="N151" i="1"/>
  <c r="M151" i="1"/>
  <c r="O151" i="1" s="1"/>
  <c r="L151" i="1"/>
  <c r="K151" i="1"/>
  <c r="N150" i="1"/>
  <c r="M150" i="1"/>
  <c r="O150" i="1" s="1"/>
  <c r="L150" i="1"/>
  <c r="K150" i="1"/>
  <c r="N149" i="1"/>
  <c r="M149" i="1"/>
  <c r="O149" i="1" s="1"/>
  <c r="L149" i="1"/>
  <c r="K149" i="1"/>
  <c r="O148" i="1"/>
  <c r="N148" i="1"/>
  <c r="M148" i="1"/>
  <c r="L148" i="1"/>
  <c r="K148" i="1"/>
  <c r="N147" i="1"/>
  <c r="M147" i="1"/>
  <c r="L147" i="1"/>
  <c r="K147" i="1"/>
  <c r="N144" i="1"/>
  <c r="M144" i="1"/>
  <c r="L144" i="1"/>
  <c r="O144" i="1" s="1"/>
  <c r="K144" i="1"/>
  <c r="O143" i="1"/>
  <c r="N143" i="1"/>
  <c r="M143" i="1"/>
  <c r="L143" i="1"/>
  <c r="K143" i="1"/>
  <c r="N142" i="1"/>
  <c r="M142" i="1"/>
  <c r="L142" i="1"/>
  <c r="K142" i="1"/>
  <c r="N141" i="1"/>
  <c r="M141" i="1"/>
  <c r="O141" i="1" s="1"/>
  <c r="L141" i="1"/>
  <c r="K141" i="1"/>
  <c r="N140" i="1"/>
  <c r="M140" i="1"/>
  <c r="O140" i="1" s="1"/>
  <c r="L140" i="1"/>
  <c r="K140" i="1"/>
  <c r="N139" i="1"/>
  <c r="M139" i="1"/>
  <c r="L139" i="1"/>
  <c r="K139" i="1"/>
  <c r="N138" i="1"/>
  <c r="M138" i="1"/>
  <c r="O138" i="1" s="1"/>
  <c r="L138" i="1"/>
  <c r="K138" i="1"/>
  <c r="N137" i="1"/>
  <c r="M137" i="1"/>
  <c r="O137" i="1" s="1"/>
  <c r="L137" i="1"/>
  <c r="K137" i="1"/>
  <c r="N136" i="1"/>
  <c r="M136" i="1"/>
  <c r="L136" i="1"/>
  <c r="K136" i="1"/>
  <c r="O135" i="1"/>
  <c r="N135" i="1"/>
  <c r="M135" i="1"/>
  <c r="L135" i="1"/>
  <c r="K135" i="1"/>
  <c r="N134" i="1"/>
  <c r="M134" i="1"/>
  <c r="L134" i="1"/>
  <c r="K134" i="1"/>
  <c r="N133" i="1"/>
  <c r="M133" i="1"/>
  <c r="O133" i="1" s="1"/>
  <c r="L133" i="1"/>
  <c r="K133" i="1"/>
  <c r="N132" i="1"/>
  <c r="M132" i="1"/>
  <c r="L132" i="1"/>
  <c r="K132" i="1"/>
  <c r="N131" i="1"/>
  <c r="M131" i="1"/>
  <c r="L131" i="1"/>
  <c r="K131" i="1"/>
  <c r="N130" i="1"/>
  <c r="M130" i="1"/>
  <c r="O130" i="1" s="1"/>
  <c r="L130" i="1"/>
  <c r="K130" i="1"/>
  <c r="N129" i="1"/>
  <c r="M129" i="1"/>
  <c r="O129" i="1" s="1"/>
  <c r="L129" i="1"/>
  <c r="K129" i="1"/>
  <c r="N128" i="1"/>
  <c r="M128" i="1"/>
  <c r="L128" i="1"/>
  <c r="O128" i="1" s="1"/>
  <c r="K128" i="1"/>
  <c r="N127" i="1"/>
  <c r="M127" i="1"/>
  <c r="O127" i="1" s="1"/>
  <c r="L127" i="1"/>
  <c r="K127" i="1"/>
  <c r="N126" i="1"/>
  <c r="M126" i="1"/>
  <c r="O126" i="1" s="1"/>
  <c r="L126" i="1"/>
  <c r="K126" i="1"/>
  <c r="N125" i="1"/>
  <c r="M125" i="1"/>
  <c r="O125" i="1" s="1"/>
  <c r="L125" i="1"/>
  <c r="K125" i="1"/>
  <c r="N124" i="1"/>
  <c r="M124" i="1"/>
  <c r="O124" i="1" s="1"/>
  <c r="L124" i="1"/>
  <c r="K124" i="1"/>
  <c r="N123" i="1"/>
  <c r="M123" i="1"/>
  <c r="L123" i="1"/>
  <c r="K123" i="1"/>
  <c r="N122" i="1"/>
  <c r="M122" i="1"/>
  <c r="O122" i="1" s="1"/>
  <c r="L122" i="1"/>
  <c r="K122" i="1"/>
  <c r="N121" i="1"/>
  <c r="M121" i="1"/>
  <c r="L121" i="1"/>
  <c r="K121" i="1"/>
  <c r="N120" i="1"/>
  <c r="M120" i="1"/>
  <c r="L120" i="1"/>
  <c r="O120" i="1" s="1"/>
  <c r="K120" i="1"/>
  <c r="N119" i="1"/>
  <c r="M119" i="1"/>
  <c r="O119" i="1" s="1"/>
  <c r="L119" i="1"/>
  <c r="K119" i="1"/>
  <c r="N118" i="1"/>
  <c r="M118" i="1"/>
  <c r="O118" i="1" s="1"/>
  <c r="L118" i="1"/>
  <c r="K118" i="1"/>
  <c r="N117" i="1"/>
  <c r="M117" i="1"/>
  <c r="O117" i="1" s="1"/>
  <c r="L117" i="1"/>
  <c r="K117" i="1"/>
  <c r="N116" i="1"/>
  <c r="M116" i="1"/>
  <c r="O116" i="1" s="1"/>
  <c r="L116" i="1"/>
  <c r="K116" i="1"/>
  <c r="N115" i="1"/>
  <c r="M115" i="1"/>
  <c r="O115" i="1" s="1"/>
  <c r="L115" i="1"/>
  <c r="K115" i="1"/>
  <c r="N114" i="1"/>
  <c r="M114" i="1"/>
  <c r="O114" i="1" s="1"/>
  <c r="L114" i="1"/>
  <c r="K114" i="1"/>
  <c r="N113" i="1"/>
  <c r="M113" i="1"/>
  <c r="O113" i="1" s="1"/>
  <c r="L113" i="1"/>
  <c r="K113" i="1"/>
  <c r="N112" i="1"/>
  <c r="M112" i="1"/>
  <c r="L112" i="1"/>
  <c r="O112" i="1" s="1"/>
  <c r="K112" i="1"/>
  <c r="N111" i="1"/>
  <c r="M111" i="1"/>
  <c r="O111" i="1" s="1"/>
  <c r="L111" i="1"/>
  <c r="K111" i="1"/>
  <c r="N110" i="1"/>
  <c r="M110" i="1"/>
  <c r="L110" i="1"/>
  <c r="K110" i="1"/>
  <c r="N109" i="1"/>
  <c r="M109" i="1"/>
  <c r="O109" i="1" s="1"/>
  <c r="L109" i="1"/>
  <c r="K109" i="1"/>
  <c r="N108" i="1"/>
  <c r="M108" i="1"/>
  <c r="L108" i="1"/>
  <c r="K108" i="1"/>
  <c r="N107" i="1"/>
  <c r="M107" i="1"/>
  <c r="O107" i="1" s="1"/>
  <c r="L107" i="1"/>
  <c r="K107" i="1"/>
  <c r="N106" i="1"/>
  <c r="M106" i="1"/>
  <c r="O106" i="1" s="1"/>
  <c r="L106" i="1"/>
  <c r="K106" i="1"/>
  <c r="N105" i="1"/>
  <c r="M105" i="1"/>
  <c r="O105" i="1" s="1"/>
  <c r="L105" i="1"/>
  <c r="K105" i="1"/>
  <c r="N104" i="1"/>
  <c r="M104" i="1"/>
  <c r="L104" i="1"/>
  <c r="K104" i="1"/>
  <c r="N103" i="1"/>
  <c r="M103" i="1"/>
  <c r="L103" i="1"/>
  <c r="K103" i="1"/>
  <c r="N100" i="1"/>
  <c r="M100" i="1"/>
  <c r="O100" i="1" s="1"/>
  <c r="L100" i="1"/>
  <c r="K100" i="1"/>
  <c r="O99" i="1"/>
  <c r="N99" i="1"/>
  <c r="M99" i="1"/>
  <c r="L99" i="1"/>
  <c r="K99" i="1"/>
  <c r="N98" i="1"/>
  <c r="M98" i="1"/>
  <c r="L98" i="1"/>
  <c r="K98" i="1"/>
  <c r="N97" i="1"/>
  <c r="M97" i="1"/>
  <c r="O97" i="1" s="1"/>
  <c r="L97" i="1"/>
  <c r="K97" i="1"/>
  <c r="N96" i="1"/>
  <c r="M96" i="1"/>
  <c r="O96" i="1" s="1"/>
  <c r="L96" i="1"/>
  <c r="K96" i="1"/>
  <c r="N95" i="1"/>
  <c r="M95" i="1"/>
  <c r="L95" i="1"/>
  <c r="K95" i="1"/>
  <c r="N94" i="1"/>
  <c r="M94" i="1"/>
  <c r="L94" i="1"/>
  <c r="O94" i="1" s="1"/>
  <c r="K94" i="1"/>
  <c r="N93" i="1"/>
  <c r="M93" i="1"/>
  <c r="L93" i="1"/>
  <c r="K93" i="1"/>
  <c r="N92" i="1"/>
  <c r="M92" i="1"/>
  <c r="L92" i="1"/>
  <c r="K92" i="1"/>
  <c r="N91" i="1"/>
  <c r="M91" i="1"/>
  <c r="O91" i="1" s="1"/>
  <c r="L91" i="1"/>
  <c r="K91" i="1"/>
  <c r="N90" i="1"/>
  <c r="M90" i="1"/>
  <c r="L90" i="1"/>
  <c r="K90" i="1"/>
  <c r="N89" i="1"/>
  <c r="M89" i="1"/>
  <c r="L89" i="1"/>
  <c r="K89" i="1"/>
  <c r="N88" i="1"/>
  <c r="M88" i="1"/>
  <c r="O88" i="1" s="1"/>
  <c r="L88" i="1"/>
  <c r="K88" i="1"/>
  <c r="N87" i="1"/>
  <c r="M87" i="1"/>
  <c r="L87" i="1"/>
  <c r="K87" i="1"/>
  <c r="N86" i="1"/>
  <c r="M86" i="1"/>
  <c r="L86" i="1"/>
  <c r="K86" i="1"/>
  <c r="N85" i="1"/>
  <c r="M85" i="1"/>
  <c r="O85" i="1" s="1"/>
  <c r="L85" i="1"/>
  <c r="K85" i="1"/>
  <c r="N84" i="1"/>
  <c r="M84" i="1"/>
  <c r="L84" i="1"/>
  <c r="K84" i="1"/>
  <c r="O83" i="1"/>
  <c r="N83" i="1"/>
  <c r="M83" i="1"/>
  <c r="L83" i="1"/>
  <c r="K83" i="1"/>
  <c r="N82" i="1"/>
  <c r="M82" i="1"/>
  <c r="L82" i="1"/>
  <c r="K82" i="1"/>
  <c r="N81" i="1"/>
  <c r="M81" i="1"/>
  <c r="L81" i="1"/>
  <c r="K81" i="1"/>
  <c r="O80" i="1"/>
  <c r="N80" i="1"/>
  <c r="M80" i="1"/>
  <c r="L80" i="1"/>
  <c r="K80" i="1"/>
  <c r="N79" i="1"/>
  <c r="M79" i="1"/>
  <c r="O79" i="1" s="1"/>
  <c r="L79" i="1"/>
  <c r="K79" i="1"/>
  <c r="N78" i="1"/>
  <c r="M78" i="1"/>
  <c r="L78" i="1"/>
  <c r="O78" i="1" s="1"/>
  <c r="K78" i="1"/>
  <c r="N77" i="1"/>
  <c r="M77" i="1"/>
  <c r="L77" i="1"/>
  <c r="K77" i="1"/>
  <c r="N76" i="1"/>
  <c r="M76" i="1"/>
  <c r="O76" i="1" s="1"/>
  <c r="L76" i="1"/>
  <c r="K76" i="1"/>
  <c r="N75" i="1"/>
  <c r="M75" i="1"/>
  <c r="O75" i="1" s="1"/>
  <c r="L75" i="1"/>
  <c r="K75" i="1"/>
  <c r="N74" i="1"/>
  <c r="M74" i="1"/>
  <c r="O74" i="1" s="1"/>
  <c r="L74" i="1"/>
  <c r="K74" i="1"/>
  <c r="N73" i="1"/>
  <c r="M73" i="1"/>
  <c r="L73" i="1"/>
  <c r="K73" i="1"/>
  <c r="N72" i="1"/>
  <c r="M72" i="1"/>
  <c r="O72" i="1" s="1"/>
  <c r="L72" i="1"/>
  <c r="K72" i="1"/>
  <c r="N71" i="1"/>
  <c r="M71" i="1"/>
  <c r="L71" i="1"/>
  <c r="K71" i="1"/>
  <c r="N70" i="1"/>
  <c r="M70" i="1"/>
  <c r="L70" i="1"/>
  <c r="O70" i="1" s="1"/>
  <c r="K70" i="1"/>
  <c r="N69" i="1"/>
  <c r="M69" i="1"/>
  <c r="O69" i="1" s="1"/>
  <c r="L69" i="1"/>
  <c r="K69" i="1"/>
  <c r="N68" i="1"/>
  <c r="M68" i="1"/>
  <c r="L68" i="1"/>
  <c r="K68" i="1"/>
  <c r="N67" i="1"/>
  <c r="M67" i="1"/>
  <c r="O67" i="1" s="1"/>
  <c r="L67" i="1"/>
  <c r="K67" i="1"/>
  <c r="N66" i="1"/>
  <c r="M66" i="1"/>
  <c r="O66" i="1" s="1"/>
  <c r="L66" i="1"/>
  <c r="K66" i="1"/>
  <c r="N63" i="1"/>
  <c r="M63" i="1"/>
  <c r="L63" i="1"/>
  <c r="K63" i="1"/>
  <c r="N62" i="1"/>
  <c r="M62" i="1"/>
  <c r="O62" i="1" s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O57" i="1" s="1"/>
  <c r="L57" i="1"/>
  <c r="K57" i="1"/>
  <c r="N56" i="1"/>
  <c r="M56" i="1"/>
  <c r="L56" i="1"/>
  <c r="K56" i="1"/>
  <c r="N55" i="1"/>
  <c r="M55" i="1"/>
  <c r="O55" i="1" s="1"/>
  <c r="L55" i="1"/>
  <c r="K55" i="1"/>
  <c r="N54" i="1"/>
  <c r="M54" i="1"/>
  <c r="O54" i="1" s="1"/>
  <c r="L54" i="1"/>
  <c r="K54" i="1"/>
  <c r="N53" i="1"/>
  <c r="M53" i="1"/>
  <c r="O53" i="1" s="1"/>
  <c r="L53" i="1"/>
  <c r="K53" i="1"/>
  <c r="N52" i="1"/>
  <c r="M52" i="1"/>
  <c r="L52" i="1"/>
  <c r="O52" i="1" s="1"/>
  <c r="K52" i="1"/>
  <c r="N51" i="1"/>
  <c r="M51" i="1"/>
  <c r="L51" i="1"/>
  <c r="K51" i="1"/>
  <c r="N50" i="1"/>
  <c r="M50" i="1"/>
  <c r="O50" i="1" s="1"/>
  <c r="L50" i="1"/>
  <c r="K50" i="1"/>
  <c r="O49" i="1"/>
  <c r="N49" i="1"/>
  <c r="M49" i="1"/>
  <c r="L49" i="1"/>
  <c r="K49" i="1"/>
  <c r="N48" i="1"/>
  <c r="M48" i="1"/>
  <c r="L48" i="1"/>
  <c r="K48" i="1"/>
  <c r="N47" i="1"/>
  <c r="M47" i="1"/>
  <c r="O47" i="1" s="1"/>
  <c r="L47" i="1"/>
  <c r="K47" i="1"/>
  <c r="N46" i="1"/>
  <c r="M46" i="1"/>
  <c r="O46" i="1" s="1"/>
  <c r="L46" i="1"/>
  <c r="K46" i="1"/>
  <c r="N45" i="1"/>
  <c r="M45" i="1"/>
  <c r="L45" i="1"/>
  <c r="K45" i="1"/>
  <c r="N44" i="1"/>
  <c r="M44" i="1"/>
  <c r="L44" i="1"/>
  <c r="O44" i="1" s="1"/>
  <c r="K44" i="1"/>
  <c r="N43" i="1"/>
  <c r="M43" i="1"/>
  <c r="L43" i="1"/>
  <c r="K43" i="1"/>
  <c r="N42" i="1"/>
  <c r="M42" i="1"/>
  <c r="L42" i="1"/>
  <c r="K42" i="1"/>
  <c r="N41" i="1"/>
  <c r="M41" i="1"/>
  <c r="O41" i="1" s="1"/>
  <c r="L41" i="1"/>
  <c r="K41" i="1"/>
  <c r="N40" i="1"/>
  <c r="M40" i="1"/>
  <c r="O40" i="1" s="1"/>
  <c r="L40" i="1"/>
  <c r="K40" i="1"/>
  <c r="N39" i="1"/>
  <c r="M39" i="1"/>
  <c r="L39" i="1"/>
  <c r="K39" i="1"/>
  <c r="N38" i="1"/>
  <c r="M38" i="1"/>
  <c r="O38" i="1" s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O33" i="1"/>
  <c r="N33" i="1"/>
  <c r="M33" i="1"/>
  <c r="L33" i="1"/>
  <c r="K33" i="1"/>
  <c r="N32" i="1"/>
  <c r="M32" i="1"/>
  <c r="L32" i="1"/>
  <c r="K32" i="1"/>
  <c r="N31" i="1"/>
  <c r="M31" i="1"/>
  <c r="L31" i="1"/>
  <c r="K31" i="1"/>
  <c r="O30" i="1"/>
  <c r="N30" i="1"/>
  <c r="M30" i="1"/>
  <c r="L30" i="1"/>
  <c r="K30" i="1"/>
  <c r="N27" i="1"/>
  <c r="M27" i="1"/>
  <c r="O27" i="1" s="1"/>
  <c r="L27" i="1"/>
  <c r="K27" i="1"/>
  <c r="N26" i="1"/>
  <c r="M26" i="1"/>
  <c r="L26" i="1"/>
  <c r="O26" i="1" s="1"/>
  <c r="K26" i="1"/>
  <c r="N25" i="1"/>
  <c r="M25" i="1"/>
  <c r="L25" i="1"/>
  <c r="K25" i="1"/>
  <c r="N24" i="1"/>
  <c r="M24" i="1"/>
  <c r="O24" i="1" s="1"/>
  <c r="L24" i="1"/>
  <c r="K24" i="1"/>
  <c r="N23" i="1"/>
  <c r="M23" i="1"/>
  <c r="O23" i="1" s="1"/>
  <c r="L23" i="1"/>
  <c r="K23" i="1"/>
  <c r="N22" i="1"/>
  <c r="M22" i="1"/>
  <c r="O22" i="1" s="1"/>
  <c r="L22" i="1"/>
  <c r="K22" i="1"/>
  <c r="N21" i="1"/>
  <c r="M21" i="1"/>
  <c r="O21" i="1" s="1"/>
  <c r="L21" i="1"/>
  <c r="K21" i="1"/>
  <c r="N20" i="1"/>
  <c r="M20" i="1"/>
  <c r="O20" i="1" s="1"/>
  <c r="L20" i="1"/>
  <c r="K20" i="1"/>
  <c r="N19" i="1"/>
  <c r="M19" i="1"/>
  <c r="L19" i="1"/>
  <c r="K19" i="1"/>
  <c r="N18" i="1"/>
  <c r="M18" i="1"/>
  <c r="L18" i="1"/>
  <c r="O18" i="1" s="1"/>
  <c r="K18" i="1"/>
  <c r="N17" i="1"/>
  <c r="M17" i="1"/>
  <c r="O17" i="1" s="1"/>
  <c r="L17" i="1"/>
  <c r="K17" i="1"/>
  <c r="N16" i="1"/>
  <c r="M16" i="1"/>
  <c r="L16" i="1"/>
  <c r="K16" i="1"/>
  <c r="N15" i="1"/>
  <c r="M15" i="1"/>
  <c r="O15" i="1" s="1"/>
  <c r="L15" i="1"/>
  <c r="K15" i="1"/>
  <c r="N14" i="1"/>
  <c r="M14" i="1"/>
  <c r="O14" i="1" s="1"/>
  <c r="L14" i="1"/>
  <c r="N13" i="1"/>
  <c r="M13" i="1"/>
  <c r="L13" i="1"/>
  <c r="O13" i="1" s="1"/>
  <c r="K13" i="1"/>
  <c r="N12" i="1"/>
  <c r="M12" i="1"/>
  <c r="L12" i="1"/>
  <c r="K12" i="1"/>
  <c r="N11" i="1"/>
  <c r="M11" i="1"/>
  <c r="O11" i="1" s="1"/>
  <c r="L11" i="1"/>
  <c r="K11" i="1"/>
  <c r="O10" i="1"/>
  <c r="N10" i="1"/>
  <c r="M10" i="1"/>
  <c r="L10" i="1"/>
  <c r="K10" i="1"/>
  <c r="N9" i="1"/>
  <c r="M9" i="1"/>
  <c r="L9" i="1"/>
  <c r="K9" i="1"/>
  <c r="N8" i="1"/>
  <c r="M8" i="1"/>
  <c r="O8" i="1" s="1"/>
  <c r="L8" i="1"/>
  <c r="K8" i="1"/>
  <c r="N7" i="1"/>
  <c r="M7" i="1"/>
  <c r="O7" i="1" s="1"/>
  <c r="L7" i="1"/>
  <c r="K7" i="1"/>
  <c r="N6" i="1"/>
  <c r="M6" i="1"/>
  <c r="L6" i="1"/>
  <c r="K6" i="1"/>
  <c r="N5" i="1"/>
  <c r="M5" i="1"/>
  <c r="O5" i="1" s="1"/>
  <c r="L5" i="1"/>
  <c r="K5" i="1"/>
  <c r="N4" i="1"/>
  <c r="M4" i="1"/>
  <c r="L4" i="1"/>
  <c r="K4" i="1"/>
  <c r="N3" i="1"/>
  <c r="M3" i="1"/>
  <c r="L3" i="1"/>
  <c r="K3" i="1"/>
  <c r="N2" i="1"/>
  <c r="M2" i="1"/>
  <c r="V2" i="1" s="1"/>
  <c r="L2" i="1"/>
  <c r="K2" i="1"/>
  <c r="O56" i="1" l="1"/>
  <c r="O108" i="1"/>
  <c r="O6" i="1"/>
  <c r="O36" i="1"/>
  <c r="O86" i="1"/>
  <c r="O181" i="1"/>
  <c r="O213" i="1"/>
  <c r="O235" i="1"/>
  <c r="O3" i="1"/>
  <c r="O170" i="1"/>
  <c r="O187" i="1"/>
  <c r="O204" i="1"/>
  <c r="O208" i="1"/>
  <c r="O222" i="1"/>
  <c r="O241" i="1"/>
  <c r="O244" i="1"/>
  <c r="O31" i="1"/>
  <c r="O48" i="1"/>
  <c r="O81" i="1"/>
  <c r="O98" i="1"/>
  <c r="O136" i="1"/>
  <c r="O157" i="1"/>
  <c r="O211" i="1"/>
  <c r="O45" i="1"/>
  <c r="O59" i="1"/>
  <c r="O9" i="1"/>
  <c r="O12" i="1"/>
  <c r="O34" i="1"/>
  <c r="O37" i="1"/>
  <c r="O51" i="1"/>
  <c r="O84" i="1"/>
  <c r="O87" i="1"/>
  <c r="O103" i="1"/>
  <c r="O168" i="1"/>
  <c r="O179" i="1"/>
  <c r="O196" i="1"/>
  <c r="O214" i="1"/>
  <c r="O233" i="1"/>
  <c r="O250" i="1"/>
  <c r="O39" i="1"/>
  <c r="O167" i="1"/>
  <c r="O42" i="1"/>
  <c r="O60" i="1"/>
  <c r="O73" i="1"/>
  <c r="O90" i="1"/>
  <c r="O139" i="1"/>
  <c r="O152" i="1"/>
  <c r="O163" i="1"/>
  <c r="O253" i="1"/>
  <c r="O89" i="1"/>
  <c r="O219" i="1"/>
  <c r="O252" i="1"/>
  <c r="O43" i="1"/>
  <c r="O93" i="1"/>
  <c r="O131" i="1"/>
  <c r="O142" i="1"/>
  <c r="O155" i="1"/>
  <c r="O188" i="1"/>
  <c r="O202" i="1"/>
  <c r="O223" i="1"/>
  <c r="O242" i="1"/>
  <c r="O245" i="1"/>
  <c r="O32" i="1"/>
  <c r="O63" i="1"/>
  <c r="O82" i="1"/>
  <c r="O104" i="1"/>
  <c r="O123" i="1"/>
  <c r="O134" i="1"/>
  <c r="O147" i="1"/>
  <c r="O158" i="1"/>
  <c r="O177" i="1"/>
  <c r="O197" i="1"/>
  <c r="O231" i="1"/>
  <c r="O16" i="1"/>
  <c r="O19" i="1"/>
  <c r="O35" i="1"/>
  <c r="O68" i="1"/>
  <c r="O71" i="1"/>
  <c r="O206" i="1"/>
  <c r="O254" i="1"/>
  <c r="O92" i="1"/>
  <c r="O95" i="1"/>
  <c r="O2" i="1"/>
  <c r="O25" i="1"/>
  <c r="O58" i="1"/>
  <c r="O61" i="1"/>
  <c r="O77" i="1"/>
  <c r="O110" i="1"/>
  <c r="O121" i="1"/>
  <c r="O132" i="1"/>
  <c r="O172" i="1"/>
  <c r="O186" i="1"/>
  <c r="O203" i="1"/>
  <c r="O224" i="1"/>
  <c r="O240" i="1"/>
</calcChain>
</file>

<file path=xl/sharedStrings.xml><?xml version="1.0" encoding="utf-8"?>
<sst xmlns="http://schemas.openxmlformats.org/spreadsheetml/2006/main" count="1896" uniqueCount="323">
  <si>
    <t>box</t>
  </si>
  <si>
    <t>Identifier 0</t>
  </si>
  <si>
    <t>Identifier 1</t>
  </si>
  <si>
    <t>Amount</t>
  </si>
  <si>
    <t>d 15N/14N</t>
  </si>
  <si>
    <t>Area All</t>
  </si>
  <si>
    <t>d 13C/12C</t>
  </si>
  <si>
    <t>d 34S/32S</t>
  </si>
  <si>
    <t>corr d 34S/32S</t>
  </si>
  <si>
    <t>ug N</t>
  </si>
  <si>
    <t>ug C</t>
  </si>
  <si>
    <t>ug S</t>
  </si>
  <si>
    <t>molar CNratio</t>
  </si>
  <si>
    <t>box_ID</t>
  </si>
  <si>
    <t>taxa</t>
  </si>
  <si>
    <t>time</t>
  </si>
  <si>
    <t>treatment</t>
  </si>
  <si>
    <t>A1</t>
  </si>
  <si>
    <t>1</t>
  </si>
  <si>
    <t>Fucus vesiculosus</t>
  </si>
  <si>
    <t>E</t>
  </si>
  <si>
    <t>1HW</t>
  </si>
  <si>
    <t>A2</t>
  </si>
  <si>
    <t>2</t>
  </si>
  <si>
    <t>Idotea balthica</t>
  </si>
  <si>
    <t>A3</t>
  </si>
  <si>
    <t>3</t>
  </si>
  <si>
    <t>low biomass!</t>
  </si>
  <si>
    <t>NA</t>
  </si>
  <si>
    <t>3HW</t>
  </si>
  <si>
    <t>B1</t>
  </si>
  <si>
    <t>4</t>
  </si>
  <si>
    <t>Gammarus locusta</t>
  </si>
  <si>
    <t>B2</t>
  </si>
  <si>
    <t>5</t>
  </si>
  <si>
    <t>B3</t>
  </si>
  <si>
    <t>6</t>
  </si>
  <si>
    <t>control</t>
  </si>
  <si>
    <t>hay +V2O5</t>
  </si>
  <si>
    <t>C1</t>
  </si>
  <si>
    <t>7</t>
  </si>
  <si>
    <t>C2</t>
  </si>
  <si>
    <t>8</t>
  </si>
  <si>
    <t>C3</t>
  </si>
  <si>
    <t>9</t>
  </si>
  <si>
    <t>Epiphytes</t>
  </si>
  <si>
    <t>D1</t>
  </si>
  <si>
    <t>10</t>
  </si>
  <si>
    <t>D2</t>
  </si>
  <si>
    <t>11</t>
  </si>
  <si>
    <t>D3</t>
  </si>
  <si>
    <t>12</t>
  </si>
  <si>
    <t>&gt;50V!</t>
  </si>
  <si>
    <t>E1</t>
  </si>
  <si>
    <t>13</t>
  </si>
  <si>
    <t>E2</t>
  </si>
  <si>
    <t>14</t>
  </si>
  <si>
    <t>E3</t>
  </si>
  <si>
    <t>15</t>
  </si>
  <si>
    <t>F1</t>
  </si>
  <si>
    <t>16</t>
  </si>
  <si>
    <t>Nereis sp</t>
  </si>
  <si>
    <t>F2</t>
  </si>
  <si>
    <t>17</t>
  </si>
  <si>
    <t>F3</t>
  </si>
  <si>
    <t>18</t>
  </si>
  <si>
    <t>G1</t>
  </si>
  <si>
    <t>19</t>
  </si>
  <si>
    <t>G2</t>
  </si>
  <si>
    <t>20</t>
  </si>
  <si>
    <t>H1</t>
  </si>
  <si>
    <t>21</t>
  </si>
  <si>
    <t>H2</t>
  </si>
  <si>
    <t>22</t>
  </si>
  <si>
    <t>23</t>
  </si>
  <si>
    <t>Zostera marina</t>
  </si>
  <si>
    <t>24</t>
  </si>
  <si>
    <t>Macoma balthica</t>
  </si>
  <si>
    <t>25</t>
  </si>
  <si>
    <t>A4</t>
  </si>
  <si>
    <t>26</t>
  </si>
  <si>
    <t>A5</t>
  </si>
  <si>
    <t>27</t>
  </si>
  <si>
    <t>A6</t>
  </si>
  <si>
    <t>28</t>
  </si>
  <si>
    <t>A7</t>
  </si>
  <si>
    <t>29</t>
  </si>
  <si>
    <t>A8</t>
  </si>
  <si>
    <t>30</t>
  </si>
  <si>
    <t>A9</t>
  </si>
  <si>
    <t>31</t>
  </si>
  <si>
    <t>A10</t>
  </si>
  <si>
    <t>32</t>
  </si>
  <si>
    <t>Cerastoderma edule</t>
  </si>
  <si>
    <t>B</t>
  </si>
  <si>
    <t>field</t>
  </si>
  <si>
    <t>A11</t>
  </si>
  <si>
    <t>33</t>
  </si>
  <si>
    <t>Mytilus edulis</t>
  </si>
  <si>
    <t>A12</t>
  </si>
  <si>
    <t>34</t>
  </si>
  <si>
    <t>35</t>
  </si>
  <si>
    <t>36</t>
  </si>
  <si>
    <t>37</t>
  </si>
  <si>
    <t>B4</t>
  </si>
  <si>
    <t>38</t>
  </si>
  <si>
    <t>B5</t>
  </si>
  <si>
    <t>39</t>
  </si>
  <si>
    <t>B6</t>
  </si>
  <si>
    <t>40</t>
  </si>
  <si>
    <t>B7</t>
  </si>
  <si>
    <t>41</t>
  </si>
  <si>
    <t>B8</t>
  </si>
  <si>
    <t>42</t>
  </si>
  <si>
    <t>B9</t>
  </si>
  <si>
    <t>43</t>
  </si>
  <si>
    <t>Gammarus salinus</t>
  </si>
  <si>
    <t>B10</t>
  </si>
  <si>
    <t>44</t>
  </si>
  <si>
    <t>B11</t>
  </si>
  <si>
    <t>45</t>
  </si>
  <si>
    <t>B12</t>
  </si>
  <si>
    <t>46</t>
  </si>
  <si>
    <t>47</t>
  </si>
  <si>
    <t>48</t>
  </si>
  <si>
    <t>49</t>
  </si>
  <si>
    <t>C4</t>
  </si>
  <si>
    <t>50</t>
  </si>
  <si>
    <t>C5</t>
  </si>
  <si>
    <t>51</t>
  </si>
  <si>
    <t>C6</t>
  </si>
  <si>
    <t>52</t>
  </si>
  <si>
    <t>53</t>
  </si>
  <si>
    <t>54</t>
  </si>
  <si>
    <t>55</t>
  </si>
  <si>
    <t>56</t>
  </si>
  <si>
    <t>Littorina littorea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</si>
  <si>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</si>
  <si>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</si>
  <si>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</si>
  <si>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</si>
  <si>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</si>
  <si>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</si>
  <si>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</si>
  <si>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</si>
  <si>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</si>
  <si>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</si>
  <si>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</si>
  <si>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</si>
  <si>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</si>
  <si>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</si>
  <si>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</si>
  <si>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</si>
  <si>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</si>
  <si>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</si>
  <si>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</si>
  <si>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</si>
  <si>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</si>
  <si>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</si>
  <si>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</si>
  <si>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</si>
  <si>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</si>
  <si>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</si>
  <si>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</si>
  <si>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</si>
  <si>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</si>
  <si>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</si>
  <si>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</si>
  <si>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</si>
  <si>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Barnacles</t>
  </si>
  <si>
    <t>90</t>
  </si>
  <si>
    <t>Scoloplos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</si>
  <si>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</si>
  <si>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</si>
  <si>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</si>
  <si>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</si>
  <si>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</si>
  <si>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</si>
  <si>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</si>
  <si>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</si>
  <si>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</si>
  <si>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</si>
  <si>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</si>
  <si>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</si>
  <si>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</si>
  <si>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</si>
  <si>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</si>
  <si>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</si>
  <si>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</si>
  <si>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</si>
  <si>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</si>
  <si>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</si>
  <si>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</si>
  <si>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</si>
  <si>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C7</t>
  </si>
  <si>
    <t>113</t>
  </si>
  <si>
    <t>C8</t>
  </si>
  <si>
    <t>114</t>
  </si>
  <si>
    <t>C9</t>
  </si>
  <si>
    <t>115</t>
  </si>
  <si>
    <t>C10</t>
  </si>
  <si>
    <t>116</t>
  </si>
  <si>
    <t>too less!</t>
  </si>
  <si>
    <t>C11</t>
  </si>
  <si>
    <t>117</t>
  </si>
  <si>
    <t>118</t>
  </si>
  <si>
    <t>low biomass</t>
  </si>
  <si>
    <t>119</t>
  </si>
  <si>
    <t>120</t>
  </si>
  <si>
    <t>E4</t>
  </si>
  <si>
    <t>121</t>
  </si>
  <si>
    <t>E5</t>
  </si>
  <si>
    <t>122</t>
  </si>
  <si>
    <t>E6</t>
  </si>
  <si>
    <t>123</t>
  </si>
  <si>
    <t>E7</t>
  </si>
  <si>
    <t>124</t>
  </si>
  <si>
    <t>E8</t>
  </si>
  <si>
    <t>125</t>
  </si>
  <si>
    <t>E9</t>
  </si>
  <si>
    <t>126</t>
  </si>
  <si>
    <t>E10</t>
  </si>
  <si>
    <t>127</t>
  </si>
  <si>
    <t>E11</t>
  </si>
  <si>
    <t>128</t>
  </si>
  <si>
    <t>E12</t>
  </si>
  <si>
    <t>129</t>
  </si>
  <si>
    <t>130</t>
  </si>
  <si>
    <t>131</t>
  </si>
  <si>
    <t>132</t>
  </si>
  <si>
    <t>missing information!</t>
  </si>
  <si>
    <t>136</t>
  </si>
  <si>
    <t>137</t>
  </si>
  <si>
    <t>138</t>
  </si>
  <si>
    <t>139</t>
  </si>
  <si>
    <t>140</t>
  </si>
  <si>
    <t>141</t>
  </si>
  <si>
    <t>no peak detected!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</si>
  <si>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</si>
  <si>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</si>
  <si>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</si>
  <si>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</si>
  <si>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</si>
  <si>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</si>
  <si>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</si>
  <si>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</si>
  <si>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</si>
  <si>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</si>
  <si>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</si>
  <si>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</si>
  <si>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</si>
  <si>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</si>
  <si>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</si>
  <si>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</si>
  <si>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</si>
  <si>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</si>
  <si>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</si>
  <si>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</si>
  <si>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</si>
  <si>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</si>
  <si>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</si>
  <si>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</si>
  <si>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</si>
  <si>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</si>
  <si>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C12</t>
  </si>
  <si>
    <t>168</t>
  </si>
  <si>
    <t>caffein</t>
  </si>
  <si>
    <t>169</t>
  </si>
  <si>
    <t>170</t>
  </si>
  <si>
    <t>171</t>
  </si>
  <si>
    <t>D4</t>
  </si>
  <si>
    <t>172</t>
  </si>
  <si>
    <t>D5</t>
  </si>
  <si>
    <t>173</t>
  </si>
  <si>
    <t>D6</t>
  </si>
  <si>
    <t>174</t>
  </si>
  <si>
    <t>D7</t>
  </si>
  <si>
    <t>175</t>
  </si>
  <si>
    <t>D8</t>
  </si>
  <si>
    <t>176</t>
  </si>
  <si>
    <t>D9</t>
  </si>
  <si>
    <t>177</t>
  </si>
  <si>
    <t>D10</t>
  </si>
  <si>
    <t>178</t>
  </si>
  <si>
    <t>D11</t>
  </si>
  <si>
    <t>179</t>
  </si>
  <si>
    <t>D12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</si>
  <si>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</si>
  <si>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</si>
  <si>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</si>
  <si>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</si>
  <si>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</si>
  <si>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</si>
  <si>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</si>
  <si>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</si>
  <si>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</si>
  <si>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</si>
  <si>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</si>
  <si>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</si>
  <si>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</si>
  <si>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</si>
  <si>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</si>
  <si>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</si>
  <si>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</si>
  <si>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no peak detected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</si>
  <si>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</si>
  <si>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</si>
  <si>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</si>
  <si>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</si>
  <si>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</si>
  <si>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</si>
  <si>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</si>
  <si>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</si>
  <si>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</si>
  <si>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</si>
  <si>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mantle tissue No8</t>
  </si>
  <si>
    <t>C_fraction</t>
  </si>
  <si>
    <t>Amount (mg)</t>
  </si>
  <si>
    <t>Amount (ug)</t>
  </si>
  <si>
    <t>Littorina</t>
  </si>
  <si>
    <t>C_fraction_OK</t>
  </si>
  <si>
    <t>0HW</t>
  </si>
  <si>
    <t>Hediste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</si>
</sst>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quotePrefix="1" applyFont="1" applyBorder="1"/>
    <xf numFmtId="0" fontId="1" fillId="0" borderId="1" xfId="0" quotePrefix="1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quotePrefix="1" applyBorder="1"/>
    <xf numFmtId="0" fontId="0" fillId="0" borderId="1" xfId="0" applyBorder="1"/>
    <xf numFmtId="0" fontId="2" fillId="0" borderId="1" xfId="0" quotePrefix="1" applyFont="1" applyBorder="1"/>
    <xf numFmtId="164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3" borderId="1" xfId="0" quotePrefix="1" applyFill="1" applyBorder="1"/>
    <xf numFmtId="164" fontId="3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quotePrefix="1" applyFont="1" applyFill="1" applyBorder="1"/>
    <xf numFmtId="0" fontId="3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4" xfId="0" applyFill="1" applyBorder="1"/>
    <xf numFmtId="0" fontId="0" fillId="3" borderId="4" xfId="0" quotePrefix="1" applyFill="1" applyBorder="1"/>
    <xf numFmtId="164" fontId="3" fillId="3" borderId="4" xfId="0" applyNumberFormat="1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5" fillId="0" borderId="1" xfId="0" quotePrefix="1" applyFont="1" applyBorder="1"/>
    <xf numFmtId="164" fontId="5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quotePrefix="1" applyFon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164" fontId="3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5" borderId="1" xfId="0" quotePrefix="1" applyFill="1" applyBorder="1"/>
    <xf numFmtId="0" fontId="0" fillId="5" borderId="1" xfId="0" applyFill="1" applyBorder="1"/>
    <xf numFmtId="164" fontId="3" fillId="5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quotePrefix="1" applyFill="1" applyBorder="1"/>
    <xf numFmtId="164" fontId="3" fillId="6" borderId="1" xfId="0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2" fillId="5" borderId="1" xfId="0" quotePrefix="1" applyFont="1" applyFill="1" applyBorder="1"/>
    <xf numFmtId="0" fontId="3" fillId="5" borderId="1" xfId="0" quotePrefix="1" applyFont="1" applyFill="1" applyBorder="1"/>
    <xf numFmtId="2" fontId="2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left"/>
    </xf>
    <xf numFmtId="166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0" fillId="4" borderId="1" xfId="0" applyNumberFormat="1" applyFill="1" applyBorder="1"/>
    <xf numFmtId="165" fontId="0" fillId="6" borderId="1" xfId="0" applyNumberFormat="1" applyFill="1" applyBorder="1"/>
    <xf numFmtId="165" fontId="0" fillId="5" borderId="1" xfId="0" applyNumberFormat="1" applyFill="1" applyBorder="1"/>
    <xf numFmtId="0" fontId="0" fillId="6" borderId="2" xfId="0" applyFill="1" applyBorder="1"/>
    <xf numFmtId="166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6" borderId="1" xfId="0" quotePrefix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0" fillId="6" borderId="1" xfId="0" quotePrefix="1" applyFill="1" applyBorder="1" applyAlignment="1">
      <alignment horizontal="right"/>
    </xf>
    <xf numFmtId="0" fontId="3" fillId="6" borderId="1" xfId="0" quotePrefix="1" applyFont="1" applyFill="1" applyBorder="1"/>
    <xf numFmtId="2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5" borderId="2" xfId="0" applyFill="1" applyBorder="1"/>
    <xf numFmtId="166" fontId="0" fillId="5" borderId="1" xfId="0" applyNumberFormat="1" applyFill="1" applyBorder="1" applyAlignment="1">
      <alignment horizontal="right"/>
    </xf>
    <xf numFmtId="0" fontId="0" fillId="4" borderId="2" xfId="0" applyFill="1" applyBorder="1"/>
    <xf numFmtId="166" fontId="0" fillId="4" borderId="1" xfId="0" applyNumberFormat="1" applyFill="1" applyBorder="1" applyAlignment="1">
      <alignment horizontal="right"/>
    </xf>
    <xf numFmtId="0" fontId="3" fillId="4" borderId="1" xfId="0" quotePrefix="1" applyFont="1" applyFill="1" applyBorder="1"/>
    <xf numFmtId="165" fontId="7" fillId="0" borderId="0" xfId="0" applyNumberFormat="1" applyFont="1"/>
    <xf numFmtId="165" fontId="6" fillId="0" borderId="0" xfId="0" applyNumberFormat="1" applyFont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quotePrefix="1" applyFill="1" applyBorder="1"/>
    <xf numFmtId="164" fontId="3" fillId="7" borderId="1" xfId="0" applyNumberFormat="1" applyFon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0" xfId="0" applyFill="1"/>
    <xf numFmtId="2" fontId="0" fillId="7" borderId="0" xfId="0" applyNumberFormat="1" applyFill="1"/>
    <xf numFmtId="165" fontId="0" fillId="7" borderId="0" xfId="0" applyNumberFormat="1" applyFill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quotePrefix="1" applyFill="1" applyBorder="1"/>
    <xf numFmtId="164" fontId="3" fillId="8" borderId="1" xfId="0" applyNumberFormat="1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8" borderId="0" xfId="0" applyFill="1"/>
    <xf numFmtId="2" fontId="0" fillId="8" borderId="0" xfId="0" applyNumberFormat="1" applyFill="1"/>
    <xf numFmtId="165" fontId="0" fillId="8" borderId="0" xfId="0" applyNumberFormat="1" applyFill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quotePrefix="1" applyFill="1" applyBorder="1"/>
    <xf numFmtId="164" fontId="3" fillId="9" borderId="1" xfId="0" applyNumberFormat="1" applyFon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9" borderId="0" xfId="0" applyFill="1"/>
    <xf numFmtId="2" fontId="0" fillId="9" borderId="0" xfId="0" applyNumberFormat="1" applyFill="1"/>
    <xf numFmtId="165" fontId="0" fillId="9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4"/>
  <sheetViews>
    <sheetView workbookViewId="0">
      <selection sqref="A1:XFD1048576"/>
    </sheetView>
  </sheetViews>
  <sheetFormatPr baseColWidth="10" defaultColWidth="8.83203125" defaultRowHeight="15" x14ac:dyDescent="0.2"/>
  <cols>
    <col min="17" max="17" width="20.1640625" bestFit="1" customWidth="1"/>
    <col min="21" max="21" width="10.5" bestFit="1" customWidth="1"/>
  </cols>
  <sheetData>
    <row r="1" spans="1:22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41" t="s">
        <v>318</v>
      </c>
      <c r="V1" s="40" t="s">
        <v>316</v>
      </c>
    </row>
    <row r="2" spans="1:22" x14ac:dyDescent="0.2">
      <c r="A2" s="5">
        <v>1</v>
      </c>
      <c r="B2" s="6" t="s">
        <v>17</v>
      </c>
      <c r="C2" s="7" t="s">
        <v>18</v>
      </c>
      <c r="D2" s="8">
        <v>9.7000000000000003E-2</v>
      </c>
      <c r="E2" s="7">
        <v>7.9370000000000003</v>
      </c>
      <c r="F2" s="7">
        <v>1.109</v>
      </c>
      <c r="G2" s="7">
        <v>-18.033999999999999</v>
      </c>
      <c r="H2" s="7">
        <v>17.98</v>
      </c>
      <c r="I2" s="9">
        <v>4.8760000000000003</v>
      </c>
      <c r="J2" s="7">
        <v>17.866</v>
      </c>
      <c r="K2" s="10">
        <f>(J2*1.2306)+0.4514</f>
        <v>22.437299599999999</v>
      </c>
      <c r="L2" s="11">
        <f>(F2-0.0387)/0.9599</f>
        <v>1.1150119804146266</v>
      </c>
      <c r="M2" s="11">
        <f>(H2+0.7021)/0.5981</f>
        <v>31.235746530680494</v>
      </c>
      <c r="N2" s="11">
        <f>(I2+0.2428)/2.4916</f>
        <v>2.0544228608123296</v>
      </c>
      <c r="O2" s="11">
        <f>(M2/12)/(L2/14)</f>
        <v>32.682791688249623</v>
      </c>
      <c r="P2" s="8">
        <v>138</v>
      </c>
      <c r="Q2" s="8" t="s">
        <v>19</v>
      </c>
      <c r="R2" s="5" t="s">
        <v>20</v>
      </c>
      <c r="S2" s="5" t="s">
        <v>21</v>
      </c>
      <c r="U2" s="43">
        <f>D2*1000</f>
        <v>97</v>
      </c>
      <c r="V2" s="42">
        <f>M2/U2</f>
        <v>0.32201800547093296</v>
      </c>
    </row>
    <row r="3" spans="1:22" x14ac:dyDescent="0.2">
      <c r="A3" s="5">
        <v>1</v>
      </c>
      <c r="B3" s="6" t="s">
        <v>22</v>
      </c>
      <c r="C3" s="7" t="s">
        <v>23</v>
      </c>
      <c r="D3" s="8">
        <v>8.5199999999999998E-2</v>
      </c>
      <c r="E3" s="7">
        <v>9.577</v>
      </c>
      <c r="F3" s="7">
        <v>5.5220000000000002</v>
      </c>
      <c r="G3" s="7">
        <v>-14.632</v>
      </c>
      <c r="H3" s="7">
        <v>14.965</v>
      </c>
      <c r="I3" s="7">
        <v>1.8109999999999999</v>
      </c>
      <c r="J3" s="7">
        <v>14.96</v>
      </c>
      <c r="K3" s="10">
        <f t="shared" ref="K3:K27" si="0">(J3*1.2306)+0.4514</f>
        <v>18.861176</v>
      </c>
      <c r="L3" s="11">
        <f t="shared" ref="L3:L27" si="1">(F3-0.0387)/0.9599</f>
        <v>5.7123658714449421</v>
      </c>
      <c r="M3" s="11">
        <f t="shared" ref="M3:M27" si="2">(H3+0.7021)/0.5981</f>
        <v>26.19478348102324</v>
      </c>
      <c r="N3" s="11">
        <f t="shared" ref="N3:N27" si="3">(I3+0.2428)/2.4916</f>
        <v>0.82428961310001603</v>
      </c>
      <c r="O3" s="11">
        <f t="shared" ref="O3:O27" si="4">(M3/12)/(L3/14)</f>
        <v>5.3498990463175895</v>
      </c>
      <c r="P3" s="8">
        <v>83</v>
      </c>
      <c r="Q3" s="8" t="s">
        <v>24</v>
      </c>
      <c r="R3" s="5" t="s">
        <v>20</v>
      </c>
      <c r="S3" s="5" t="s">
        <v>21</v>
      </c>
    </row>
    <row r="4" spans="1:22" x14ac:dyDescent="0.2">
      <c r="A4" s="5">
        <v>1</v>
      </c>
      <c r="B4" s="6" t="s">
        <v>25</v>
      </c>
      <c r="C4" s="7" t="s">
        <v>26</v>
      </c>
      <c r="D4" s="8">
        <v>0.1002</v>
      </c>
      <c r="E4" s="12" t="s">
        <v>27</v>
      </c>
      <c r="F4" s="12" t="s">
        <v>27</v>
      </c>
      <c r="G4" s="7">
        <v>-12.319000000000001</v>
      </c>
      <c r="H4" s="7">
        <v>10.734999999999999</v>
      </c>
      <c r="I4" s="7">
        <v>3.4620000000000002</v>
      </c>
      <c r="J4" s="7">
        <v>19.081</v>
      </c>
      <c r="K4" s="10">
        <f t="shared" si="0"/>
        <v>23.932478599999996</v>
      </c>
      <c r="L4" s="11" t="e">
        <f t="shared" si="1"/>
        <v>#VALUE!</v>
      </c>
      <c r="M4" s="11">
        <f t="shared" si="2"/>
        <v>19.122387560608594</v>
      </c>
      <c r="N4" s="11">
        <f t="shared" si="3"/>
        <v>1.4869160378873014</v>
      </c>
      <c r="O4" s="11" t="s">
        <v>28</v>
      </c>
      <c r="P4" s="8">
        <v>135</v>
      </c>
      <c r="Q4" s="8" t="s">
        <v>19</v>
      </c>
      <c r="R4" s="5" t="s">
        <v>20</v>
      </c>
      <c r="S4" s="5" t="s">
        <v>29</v>
      </c>
    </row>
    <row r="5" spans="1:22" x14ac:dyDescent="0.2">
      <c r="A5" s="5">
        <v>1</v>
      </c>
      <c r="B5" s="6" t="s">
        <v>30</v>
      </c>
      <c r="C5" s="7" t="s">
        <v>31</v>
      </c>
      <c r="D5" s="8">
        <v>8.5900000000000004E-2</v>
      </c>
      <c r="E5" s="7">
        <v>8.7609999999999992</v>
      </c>
      <c r="F5" s="7">
        <v>3.27</v>
      </c>
      <c r="G5" s="7">
        <v>-16.648</v>
      </c>
      <c r="H5" s="7">
        <v>8.0660000000000007</v>
      </c>
      <c r="I5" s="7">
        <v>0.98799999999999999</v>
      </c>
      <c r="J5" s="7">
        <v>13.028</v>
      </c>
      <c r="K5" s="10">
        <f t="shared" si="0"/>
        <v>16.483656799999999</v>
      </c>
      <c r="L5" s="11">
        <f t="shared" si="1"/>
        <v>3.3662881550161479</v>
      </c>
      <c r="M5" s="11">
        <f t="shared" si="2"/>
        <v>14.659923089784318</v>
      </c>
      <c r="N5" s="11">
        <f t="shared" si="3"/>
        <v>0.49397977203403431</v>
      </c>
      <c r="O5" s="11">
        <f t="shared" si="4"/>
        <v>5.0807425915878932</v>
      </c>
      <c r="P5" s="8">
        <v>93</v>
      </c>
      <c r="Q5" s="8" t="s">
        <v>32</v>
      </c>
      <c r="R5" s="5" t="s">
        <v>20</v>
      </c>
      <c r="S5" s="5" t="s">
        <v>21</v>
      </c>
    </row>
    <row r="6" spans="1:22" x14ac:dyDescent="0.2">
      <c r="A6" s="5">
        <v>1</v>
      </c>
      <c r="B6" s="6" t="s">
        <v>33</v>
      </c>
      <c r="C6" s="7" t="s">
        <v>34</v>
      </c>
      <c r="D6" s="8">
        <v>7.7499999999999999E-2</v>
      </c>
      <c r="E6" s="7">
        <v>8.7129999999999992</v>
      </c>
      <c r="F6" s="7">
        <v>3.4470000000000001</v>
      </c>
      <c r="G6" s="7">
        <v>-12.776999999999999</v>
      </c>
      <c r="H6" s="7">
        <v>11.257999999999999</v>
      </c>
      <c r="I6" s="7">
        <v>1.2350000000000001</v>
      </c>
      <c r="J6" s="7">
        <v>14.667999999999999</v>
      </c>
      <c r="K6" s="10">
        <f t="shared" si="0"/>
        <v>18.501840799999997</v>
      </c>
      <c r="L6" s="11">
        <f t="shared" si="1"/>
        <v>3.5506823627461195</v>
      </c>
      <c r="M6" s="11">
        <f t="shared" si="2"/>
        <v>19.996823273700048</v>
      </c>
      <c r="N6" s="11">
        <f t="shared" si="3"/>
        <v>0.59311285920693535</v>
      </c>
      <c r="O6" s="11">
        <f t="shared" si="4"/>
        <v>6.5704630178765919</v>
      </c>
      <c r="P6" s="8">
        <v>80</v>
      </c>
      <c r="Q6" s="8" t="s">
        <v>24</v>
      </c>
      <c r="R6" s="5" t="s">
        <v>20</v>
      </c>
      <c r="S6" s="5" t="s">
        <v>21</v>
      </c>
    </row>
    <row r="7" spans="1:22" x14ac:dyDescent="0.2">
      <c r="A7" s="5">
        <v>1</v>
      </c>
      <c r="B7" s="6" t="s">
        <v>35</v>
      </c>
      <c r="C7" s="7" t="s">
        <v>36</v>
      </c>
      <c r="D7" s="8">
        <v>9.6199999999999994E-2</v>
      </c>
      <c r="E7" s="9">
        <v>6.4130000000000003</v>
      </c>
      <c r="F7" s="9">
        <v>0.76200000000000001</v>
      </c>
      <c r="G7" s="7">
        <v>-13.333</v>
      </c>
      <c r="H7" s="7">
        <v>23.206</v>
      </c>
      <c r="I7" s="9">
        <v>8.9109999999999996</v>
      </c>
      <c r="J7" s="7">
        <v>-0.27100000000000002</v>
      </c>
      <c r="K7" s="10">
        <f t="shared" si="0"/>
        <v>0.1179074</v>
      </c>
      <c r="L7" s="11">
        <f t="shared" si="1"/>
        <v>0.75351599124908852</v>
      </c>
      <c r="M7" s="11">
        <f t="shared" si="2"/>
        <v>39.973415816753054</v>
      </c>
      <c r="N7" s="11">
        <f t="shared" si="3"/>
        <v>3.6738641836570878</v>
      </c>
      <c r="O7" s="11">
        <f t="shared" si="4"/>
        <v>61.89072604670924</v>
      </c>
      <c r="P7" s="8">
        <v>129</v>
      </c>
      <c r="Q7" s="8" t="s">
        <v>19</v>
      </c>
      <c r="R7" s="5" t="s">
        <v>20</v>
      </c>
      <c r="S7" s="5" t="s">
        <v>37</v>
      </c>
    </row>
    <row r="8" spans="1:22" x14ac:dyDescent="0.2">
      <c r="A8" s="13"/>
      <c r="B8" s="14"/>
      <c r="C8" s="15" t="s">
        <v>38</v>
      </c>
      <c r="D8" s="15">
        <v>0.2326</v>
      </c>
      <c r="E8" s="15">
        <v>3.3959999999999999</v>
      </c>
      <c r="F8" s="15">
        <v>8.2530000000000001</v>
      </c>
      <c r="G8" s="15">
        <v>-29.513000000000002</v>
      </c>
      <c r="H8" s="15">
        <v>62.064</v>
      </c>
      <c r="I8" s="15">
        <v>1.64</v>
      </c>
      <c r="J8" s="15">
        <v>5.6130000000000004</v>
      </c>
      <c r="K8" s="16">
        <f t="shared" si="0"/>
        <v>7.3587577999999993</v>
      </c>
      <c r="L8" s="17">
        <f t="shared" si="1"/>
        <v>8.5574539014480671</v>
      </c>
      <c r="M8" s="17">
        <f t="shared" si="2"/>
        <v>104.94248453435881</v>
      </c>
      <c r="N8" s="17">
        <f t="shared" si="3"/>
        <v>0.75565901428800764</v>
      </c>
      <c r="O8" s="17">
        <f t="shared" si="4"/>
        <v>14.307164260937576</v>
      </c>
      <c r="P8" s="18"/>
      <c r="Q8" s="18"/>
      <c r="R8" s="13"/>
      <c r="S8" s="13"/>
    </row>
    <row r="9" spans="1:22" x14ac:dyDescent="0.2">
      <c r="A9" s="5">
        <v>1</v>
      </c>
      <c r="B9" s="6" t="s">
        <v>39</v>
      </c>
      <c r="C9" s="7" t="s">
        <v>40</v>
      </c>
      <c r="D9" s="8">
        <v>7.4700000000000003E-2</v>
      </c>
      <c r="E9" s="7">
        <v>7.3419999999999996</v>
      </c>
      <c r="F9" s="9">
        <v>0.89400000000000002</v>
      </c>
      <c r="G9" s="7">
        <v>-13.715999999999999</v>
      </c>
      <c r="H9" s="7">
        <v>20.635000000000002</v>
      </c>
      <c r="I9" s="9">
        <v>6.93</v>
      </c>
      <c r="J9" s="7">
        <v>18.577999999999999</v>
      </c>
      <c r="K9" s="10">
        <f t="shared" si="0"/>
        <v>23.313486799999996</v>
      </c>
      <c r="L9" s="11">
        <f t="shared" si="1"/>
        <v>0.89103031565788116</v>
      </c>
      <c r="M9" s="11">
        <f t="shared" si="2"/>
        <v>35.674803544557776</v>
      </c>
      <c r="N9" s="11">
        <f t="shared" si="3"/>
        <v>2.8787927436185581</v>
      </c>
      <c r="O9" s="11">
        <f>(M9/12)/(L9/14)</f>
        <v>46.710648789303363</v>
      </c>
      <c r="P9" s="8">
        <v>128</v>
      </c>
      <c r="Q9" s="8" t="s">
        <v>19</v>
      </c>
      <c r="R9" s="5" t="s">
        <v>20</v>
      </c>
      <c r="S9" s="5" t="s">
        <v>37</v>
      </c>
    </row>
    <row r="10" spans="1:22" x14ac:dyDescent="0.2">
      <c r="A10" s="5">
        <v>1</v>
      </c>
      <c r="B10" s="6" t="s">
        <v>41</v>
      </c>
      <c r="C10" s="7" t="s">
        <v>42</v>
      </c>
      <c r="D10" s="8">
        <v>8.3900000000000002E-2</v>
      </c>
      <c r="E10" s="19" t="s">
        <v>28</v>
      </c>
      <c r="F10" s="7">
        <v>55.914999999999999</v>
      </c>
      <c r="G10" s="7">
        <v>-12.973000000000001</v>
      </c>
      <c r="H10" s="7">
        <v>6.69</v>
      </c>
      <c r="I10" s="7">
        <v>1.978</v>
      </c>
      <c r="J10" s="7">
        <v>17.609000000000002</v>
      </c>
      <c r="K10" s="10">
        <f t="shared" si="0"/>
        <v>22.1210354</v>
      </c>
      <c r="L10" s="11">
        <f t="shared" si="1"/>
        <v>58.210542764871342</v>
      </c>
      <c r="M10" s="11">
        <f t="shared" si="2"/>
        <v>12.359304464136432</v>
      </c>
      <c r="N10" s="11">
        <f t="shared" si="3"/>
        <v>0.89131481778776689</v>
      </c>
      <c r="O10" s="11">
        <f t="shared" si="4"/>
        <v>0.24770750892558482</v>
      </c>
      <c r="P10" s="8">
        <v>137</v>
      </c>
      <c r="Q10" s="8" t="s">
        <v>19</v>
      </c>
      <c r="R10" s="5" t="s">
        <v>20</v>
      </c>
      <c r="S10" s="5" t="s">
        <v>21</v>
      </c>
    </row>
    <row r="11" spans="1:22" x14ac:dyDescent="0.2">
      <c r="A11" s="5">
        <v>1</v>
      </c>
      <c r="B11" s="6" t="s">
        <v>43</v>
      </c>
      <c r="C11" s="7" t="s">
        <v>44</v>
      </c>
      <c r="D11" s="8">
        <v>9.7600000000000006E-2</v>
      </c>
      <c r="E11" s="7">
        <v>5.9180000000000001</v>
      </c>
      <c r="F11" s="7">
        <v>2.8879999999999999</v>
      </c>
      <c r="G11" s="7">
        <v>-25.355</v>
      </c>
      <c r="H11" s="7">
        <v>16.009</v>
      </c>
      <c r="I11" s="9">
        <v>6.8609999999999998</v>
      </c>
      <c r="J11" s="7">
        <v>19.146999999999998</v>
      </c>
      <c r="K11" s="10">
        <f t="shared" si="0"/>
        <v>24.013698199999997</v>
      </c>
      <c r="L11" s="11">
        <f t="shared" si="1"/>
        <v>2.9683300343785812</v>
      </c>
      <c r="M11" s="11">
        <f t="shared" si="2"/>
        <v>27.940310984785157</v>
      </c>
      <c r="N11" s="11">
        <f t="shared" si="3"/>
        <v>2.8510996949751162</v>
      </c>
      <c r="O11" s="11">
        <f t="shared" si="4"/>
        <v>10.981605517148475</v>
      </c>
      <c r="P11" s="8">
        <v>126</v>
      </c>
      <c r="Q11" s="8" t="s">
        <v>45</v>
      </c>
      <c r="R11" s="5" t="s">
        <v>20</v>
      </c>
      <c r="S11" s="5" t="s">
        <v>21</v>
      </c>
    </row>
    <row r="12" spans="1:22" x14ac:dyDescent="0.2">
      <c r="A12" s="5">
        <v>1</v>
      </c>
      <c r="B12" s="6" t="s">
        <v>46</v>
      </c>
      <c r="C12" s="7" t="s">
        <v>47</v>
      </c>
      <c r="D12" s="8">
        <v>8.9899999999999994E-2</v>
      </c>
      <c r="E12" s="7">
        <v>9.391</v>
      </c>
      <c r="F12" s="7">
        <v>6.4450000000000003</v>
      </c>
      <c r="G12" s="7">
        <v>-17.001999999999999</v>
      </c>
      <c r="H12" s="7">
        <v>16.498000000000001</v>
      </c>
      <c r="I12" s="7">
        <v>2.274</v>
      </c>
      <c r="J12" s="7">
        <v>15.124000000000001</v>
      </c>
      <c r="K12" s="10">
        <f t="shared" si="0"/>
        <v>19.062994399999997</v>
      </c>
      <c r="L12" s="11">
        <f t="shared" si="1"/>
        <v>6.6739243671215753</v>
      </c>
      <c r="M12" s="11">
        <f t="shared" si="2"/>
        <v>28.757900016719617</v>
      </c>
      <c r="N12" s="11">
        <f t="shared" si="3"/>
        <v>1.0101139829828223</v>
      </c>
      <c r="O12" s="11">
        <f t="shared" si="4"/>
        <v>5.0271596600831501</v>
      </c>
      <c r="P12" s="8">
        <v>89</v>
      </c>
      <c r="Q12" s="8" t="s">
        <v>32</v>
      </c>
      <c r="R12" s="5" t="s">
        <v>20</v>
      </c>
      <c r="S12" s="5" t="s">
        <v>29</v>
      </c>
    </row>
    <row r="13" spans="1:22" x14ac:dyDescent="0.2">
      <c r="A13" s="5">
        <v>1</v>
      </c>
      <c r="B13" s="6" t="s">
        <v>48</v>
      </c>
      <c r="C13" s="7" t="s">
        <v>49</v>
      </c>
      <c r="D13" s="8">
        <v>9.9400000000000002E-2</v>
      </c>
      <c r="E13" s="9">
        <v>7.109</v>
      </c>
      <c r="F13" s="9">
        <v>0.47599999999999998</v>
      </c>
      <c r="G13" s="7">
        <v>-15.67</v>
      </c>
      <c r="H13" s="7">
        <v>12.835000000000001</v>
      </c>
      <c r="I13" s="7">
        <v>3.8809999999999998</v>
      </c>
      <c r="J13" s="7">
        <v>18.387</v>
      </c>
      <c r="K13" s="10">
        <f t="shared" si="0"/>
        <v>23.078442199999998</v>
      </c>
      <c r="L13" s="11">
        <f t="shared" si="1"/>
        <v>0.45556828836337115</v>
      </c>
      <c r="M13" s="11">
        <f t="shared" si="2"/>
        <v>22.633506102658419</v>
      </c>
      <c r="N13" s="11">
        <f t="shared" si="3"/>
        <v>1.655081072403275</v>
      </c>
      <c r="O13" s="11">
        <f t="shared" si="4"/>
        <v>57.962237043826782</v>
      </c>
      <c r="P13" s="8">
        <v>131</v>
      </c>
      <c r="Q13" s="8" t="s">
        <v>19</v>
      </c>
      <c r="R13" s="5" t="s">
        <v>20</v>
      </c>
      <c r="S13" s="5" t="s">
        <v>37</v>
      </c>
    </row>
    <row r="14" spans="1:22" x14ac:dyDescent="0.2">
      <c r="A14" s="5">
        <v>1</v>
      </c>
      <c r="B14" s="6" t="s">
        <v>50</v>
      </c>
      <c r="C14" s="7" t="s">
        <v>51</v>
      </c>
      <c r="D14" s="8">
        <v>9.9699999999999997E-2</v>
      </c>
      <c r="E14" s="7">
        <v>6.4989999999999997</v>
      </c>
      <c r="F14" s="7">
        <v>2.8730000000000002</v>
      </c>
      <c r="G14" s="7">
        <v>-24.405000000000001</v>
      </c>
      <c r="H14" s="7">
        <v>18.884</v>
      </c>
      <c r="I14" s="9">
        <v>10.798</v>
      </c>
      <c r="J14" s="20" t="s">
        <v>52</v>
      </c>
      <c r="K14" s="20" t="s">
        <v>52</v>
      </c>
      <c r="L14" s="11">
        <f t="shared" si="1"/>
        <v>2.9527034066048552</v>
      </c>
      <c r="M14" s="11">
        <f t="shared" si="2"/>
        <v>32.747199464972418</v>
      </c>
      <c r="N14" s="11">
        <f t="shared" si="3"/>
        <v>4.4312088617755663</v>
      </c>
      <c r="O14" s="11">
        <f t="shared" si="4"/>
        <v>12.93901241723348</v>
      </c>
      <c r="P14" s="8">
        <v>127</v>
      </c>
      <c r="Q14" s="8" t="s">
        <v>45</v>
      </c>
      <c r="R14" s="5" t="s">
        <v>20</v>
      </c>
      <c r="S14" s="5" t="s">
        <v>21</v>
      </c>
    </row>
    <row r="15" spans="1:22" x14ac:dyDescent="0.2">
      <c r="A15" s="13"/>
      <c r="B15" s="14"/>
      <c r="C15" s="15" t="s">
        <v>38</v>
      </c>
      <c r="D15" s="15">
        <v>0.27010000000000001</v>
      </c>
      <c r="E15" s="15">
        <v>3.8820000000000001</v>
      </c>
      <c r="F15" s="15">
        <v>9.8710000000000004</v>
      </c>
      <c r="G15" s="15">
        <v>-29.404</v>
      </c>
      <c r="H15" s="15">
        <v>72.713999999999999</v>
      </c>
      <c r="I15" s="15">
        <v>2.02</v>
      </c>
      <c r="J15" s="15">
        <v>5.8310000000000004</v>
      </c>
      <c r="K15" s="16">
        <f t="shared" si="0"/>
        <v>7.6270285999999992</v>
      </c>
      <c r="L15" s="17">
        <f t="shared" si="1"/>
        <v>10.243046150640692</v>
      </c>
      <c r="M15" s="17">
        <f t="shared" si="2"/>
        <v>122.74887142618292</v>
      </c>
      <c r="N15" s="17">
        <f t="shared" si="3"/>
        <v>0.90817145609247063</v>
      </c>
      <c r="O15" s="17">
        <f t="shared" si="4"/>
        <v>13.980901243417966</v>
      </c>
      <c r="P15" s="18"/>
      <c r="Q15" s="18"/>
      <c r="R15" s="13"/>
      <c r="S15" s="13"/>
    </row>
    <row r="16" spans="1:22" x14ac:dyDescent="0.2">
      <c r="A16" s="5">
        <v>1</v>
      </c>
      <c r="B16" s="6" t="s">
        <v>53</v>
      </c>
      <c r="C16" s="7" t="s">
        <v>54</v>
      </c>
      <c r="D16" s="8">
        <v>0.1022</v>
      </c>
      <c r="E16" s="7">
        <v>7.8070000000000004</v>
      </c>
      <c r="F16" s="7">
        <v>4.2480000000000002</v>
      </c>
      <c r="G16" s="7">
        <v>-16.986999999999998</v>
      </c>
      <c r="H16" s="7">
        <v>12.497</v>
      </c>
      <c r="I16" s="7">
        <v>1.282</v>
      </c>
      <c r="J16" s="7">
        <v>14.724</v>
      </c>
      <c r="K16" s="10">
        <f t="shared" si="0"/>
        <v>18.570754399999998</v>
      </c>
      <c r="L16" s="11">
        <f t="shared" si="1"/>
        <v>4.3851442858631104</v>
      </c>
      <c r="M16" s="11">
        <f t="shared" si="2"/>
        <v>22.068383213509446</v>
      </c>
      <c r="N16" s="11">
        <f t="shared" si="3"/>
        <v>0.61197624016696095</v>
      </c>
      <c r="O16" s="11">
        <f t="shared" si="4"/>
        <v>5.8712884694420309</v>
      </c>
      <c r="P16" s="8">
        <v>90</v>
      </c>
      <c r="Q16" s="8" t="s">
        <v>32</v>
      </c>
      <c r="R16" s="5" t="s">
        <v>20</v>
      </c>
      <c r="S16" s="5" t="s">
        <v>29</v>
      </c>
    </row>
    <row r="17" spans="1:19" x14ac:dyDescent="0.2">
      <c r="A17" s="5">
        <v>1</v>
      </c>
      <c r="B17" s="6" t="s">
        <v>55</v>
      </c>
      <c r="C17" s="7" t="s">
        <v>56</v>
      </c>
      <c r="D17" s="8">
        <v>5.9400000000000001E-2</v>
      </c>
      <c r="E17" s="7">
        <v>8.9429999999999996</v>
      </c>
      <c r="F17" s="7">
        <v>3.1579999999999999</v>
      </c>
      <c r="G17" s="7">
        <v>-16.635999999999999</v>
      </c>
      <c r="H17" s="7">
        <v>8.18</v>
      </c>
      <c r="I17" s="7">
        <v>0.89400000000000002</v>
      </c>
      <c r="J17" s="7">
        <v>13.183</v>
      </c>
      <c r="K17" s="10">
        <f t="shared" si="0"/>
        <v>16.6743998</v>
      </c>
      <c r="L17" s="11">
        <f t="shared" si="1"/>
        <v>3.2496093343056569</v>
      </c>
      <c r="M17" s="11">
        <f t="shared" si="2"/>
        <v>14.850526667781308</v>
      </c>
      <c r="N17" s="11">
        <f t="shared" si="3"/>
        <v>0.456253010113983</v>
      </c>
      <c r="O17" s="11">
        <f t="shared" si="4"/>
        <v>5.3315991749656941</v>
      </c>
      <c r="P17" s="8">
        <v>85</v>
      </c>
      <c r="Q17" s="8" t="s">
        <v>32</v>
      </c>
      <c r="R17" s="5" t="s">
        <v>20</v>
      </c>
      <c r="S17" s="5" t="s">
        <v>37</v>
      </c>
    </row>
    <row r="18" spans="1:19" x14ac:dyDescent="0.2">
      <c r="A18" s="5">
        <v>1</v>
      </c>
      <c r="B18" s="6" t="s">
        <v>57</v>
      </c>
      <c r="C18" s="7" t="s">
        <v>58</v>
      </c>
      <c r="D18" s="8">
        <v>9.5899999999999999E-2</v>
      </c>
      <c r="E18" s="9">
        <v>7.0259999999999998</v>
      </c>
      <c r="F18" s="9">
        <v>0.94199999999999995</v>
      </c>
      <c r="G18" s="7">
        <v>-13.885</v>
      </c>
      <c r="H18" s="7">
        <v>21.962</v>
      </c>
      <c r="I18" s="9">
        <v>8.407</v>
      </c>
      <c r="J18" s="7">
        <v>19.428000000000001</v>
      </c>
      <c r="K18" s="10">
        <f t="shared" si="0"/>
        <v>24.359496799999999</v>
      </c>
      <c r="L18" s="11">
        <f t="shared" si="1"/>
        <v>0.94103552453380557</v>
      </c>
      <c r="M18" s="11">
        <f t="shared" si="2"/>
        <v>37.89349607089116</v>
      </c>
      <c r="N18" s="11">
        <f t="shared" si="3"/>
        <v>3.4715845240006424</v>
      </c>
      <c r="O18" s="11">
        <f t="shared" si="4"/>
        <v>46.979181547130707</v>
      </c>
      <c r="P18" s="8">
        <v>136</v>
      </c>
      <c r="Q18" s="8" t="s">
        <v>19</v>
      </c>
      <c r="R18" s="5" t="s">
        <v>20</v>
      </c>
      <c r="S18" s="5" t="s">
        <v>21</v>
      </c>
    </row>
    <row r="19" spans="1:19" x14ac:dyDescent="0.2">
      <c r="A19" s="5">
        <v>1</v>
      </c>
      <c r="B19" s="6" t="s">
        <v>59</v>
      </c>
      <c r="C19" s="7" t="s">
        <v>60</v>
      </c>
      <c r="D19" s="8">
        <v>8.09E-2</v>
      </c>
      <c r="E19" s="7">
        <v>10.942</v>
      </c>
      <c r="F19" s="7">
        <v>7.0419999999999998</v>
      </c>
      <c r="G19" s="7">
        <v>-17.228999999999999</v>
      </c>
      <c r="H19" s="7">
        <v>16.344999999999999</v>
      </c>
      <c r="I19" s="7">
        <v>2.0089999999999999</v>
      </c>
      <c r="J19" s="7">
        <v>12.186999999999999</v>
      </c>
      <c r="K19" s="10">
        <f t="shared" si="0"/>
        <v>15.448722199999997</v>
      </c>
      <c r="L19" s="11">
        <f t="shared" si="1"/>
        <v>7.2958641525158869</v>
      </c>
      <c r="M19" s="11">
        <f t="shared" si="2"/>
        <v>28.502089951513128</v>
      </c>
      <c r="N19" s="11">
        <f t="shared" si="3"/>
        <v>0.90375662225076248</v>
      </c>
      <c r="O19" s="11">
        <f t="shared" si="4"/>
        <v>4.5577107223547504</v>
      </c>
      <c r="P19" s="8">
        <v>152</v>
      </c>
      <c r="Q19" s="8" t="s">
        <v>61</v>
      </c>
      <c r="R19" s="5" t="s">
        <v>20</v>
      </c>
      <c r="S19" s="5" t="s">
        <v>37</v>
      </c>
    </row>
    <row r="20" spans="1:19" x14ac:dyDescent="0.2">
      <c r="A20" s="5">
        <v>1</v>
      </c>
      <c r="B20" s="6" t="s">
        <v>62</v>
      </c>
      <c r="C20" s="7" t="s">
        <v>63</v>
      </c>
      <c r="D20" s="8">
        <v>9.0399999999999994E-2</v>
      </c>
      <c r="E20" s="7">
        <v>8.7219999999999995</v>
      </c>
      <c r="F20" s="7">
        <v>5.6310000000000002</v>
      </c>
      <c r="G20" s="7">
        <v>-18.338999999999999</v>
      </c>
      <c r="H20" s="7">
        <v>16.254000000000001</v>
      </c>
      <c r="I20" s="7">
        <v>1.57</v>
      </c>
      <c r="J20" s="7">
        <v>13.944000000000001</v>
      </c>
      <c r="K20" s="10">
        <f t="shared" si="0"/>
        <v>17.610886399999998</v>
      </c>
      <c r="L20" s="11">
        <f t="shared" si="1"/>
        <v>5.8259193666006874</v>
      </c>
      <c r="M20" s="11">
        <f t="shared" si="2"/>
        <v>28.349941481357639</v>
      </c>
      <c r="N20" s="11">
        <f t="shared" si="3"/>
        <v>0.72756461711350129</v>
      </c>
      <c r="O20" s="11">
        <f t="shared" si="4"/>
        <v>5.6772038277538277</v>
      </c>
      <c r="P20" s="8">
        <v>86</v>
      </c>
      <c r="Q20" s="8" t="s">
        <v>32</v>
      </c>
      <c r="R20" s="5" t="s">
        <v>20</v>
      </c>
      <c r="S20" s="5" t="s">
        <v>37</v>
      </c>
    </row>
    <row r="21" spans="1:19" x14ac:dyDescent="0.2">
      <c r="A21" s="5">
        <v>1</v>
      </c>
      <c r="B21" s="6" t="s">
        <v>64</v>
      </c>
      <c r="C21" s="7" t="s">
        <v>65</v>
      </c>
      <c r="D21" s="8">
        <v>9.3899999999999997E-2</v>
      </c>
      <c r="E21" s="9">
        <v>7.8780000000000001</v>
      </c>
      <c r="F21" s="9">
        <v>0.61599999999999999</v>
      </c>
      <c r="G21" s="7">
        <v>-14.558</v>
      </c>
      <c r="H21" s="7">
        <v>13.526999999999999</v>
      </c>
      <c r="I21" s="9">
        <v>4.0739999999999998</v>
      </c>
      <c r="J21" s="7">
        <v>18.713000000000001</v>
      </c>
      <c r="K21" s="10">
        <f t="shared" si="0"/>
        <v>23.4796178</v>
      </c>
      <c r="L21" s="11">
        <f t="shared" si="1"/>
        <v>0.60141681425148463</v>
      </c>
      <c r="M21" s="11">
        <f t="shared" si="2"/>
        <v>23.79050326032436</v>
      </c>
      <c r="N21" s="11">
        <f t="shared" si="3"/>
        <v>1.7325413388986994</v>
      </c>
      <c r="O21" s="11">
        <f t="shared" si="4"/>
        <v>46.150334475748437</v>
      </c>
      <c r="P21" s="8">
        <v>132</v>
      </c>
      <c r="Q21" s="8" t="s">
        <v>19</v>
      </c>
      <c r="R21" s="5" t="s">
        <v>20</v>
      </c>
      <c r="S21" s="5" t="s">
        <v>29</v>
      </c>
    </row>
    <row r="22" spans="1:19" x14ac:dyDescent="0.2">
      <c r="A22" s="13"/>
      <c r="B22" s="14"/>
      <c r="C22" s="15" t="s">
        <v>38</v>
      </c>
      <c r="D22" s="15">
        <v>0.28100000000000003</v>
      </c>
      <c r="E22" s="15">
        <v>3.9910000000000001</v>
      </c>
      <c r="F22" s="15">
        <v>10.074</v>
      </c>
      <c r="G22" s="15">
        <v>-29.524000000000001</v>
      </c>
      <c r="H22" s="15">
        <v>75.995999999999995</v>
      </c>
      <c r="I22" s="15">
        <v>2.1019999999999999</v>
      </c>
      <c r="J22" s="15">
        <v>6.0670000000000002</v>
      </c>
      <c r="K22" s="16">
        <f t="shared" si="0"/>
        <v>7.9174501999999993</v>
      </c>
      <c r="L22" s="17">
        <f t="shared" si="1"/>
        <v>10.454526513178456</v>
      </c>
      <c r="M22" s="17">
        <f t="shared" si="2"/>
        <v>128.23624811904364</v>
      </c>
      <c r="N22" s="17">
        <f t="shared" si="3"/>
        <v>0.94108203563974946</v>
      </c>
      <c r="O22" s="17">
        <f t="shared" si="4"/>
        <v>14.310447818970534</v>
      </c>
      <c r="P22" s="18"/>
      <c r="Q22" s="18"/>
      <c r="R22" s="13"/>
      <c r="S22" s="13"/>
    </row>
    <row r="23" spans="1:19" x14ac:dyDescent="0.2">
      <c r="A23" s="5">
        <v>1</v>
      </c>
      <c r="B23" s="6" t="s">
        <v>66</v>
      </c>
      <c r="C23" s="7" t="s">
        <v>67</v>
      </c>
      <c r="D23" s="8">
        <v>8.1299999999999997E-2</v>
      </c>
      <c r="E23" s="7">
        <v>9.6349999999999998</v>
      </c>
      <c r="F23" s="7">
        <v>6.1120000000000001</v>
      </c>
      <c r="G23" s="7">
        <v>-13.738</v>
      </c>
      <c r="H23" s="7">
        <v>16.454000000000001</v>
      </c>
      <c r="I23" s="7">
        <v>2.0920000000000001</v>
      </c>
      <c r="J23" s="7">
        <v>14.839</v>
      </c>
      <c r="K23" s="10">
        <f t="shared" si="0"/>
        <v>18.712273399999997</v>
      </c>
      <c r="L23" s="11">
        <f t="shared" si="1"/>
        <v>6.3270132305448481</v>
      </c>
      <c r="M23" s="11">
        <f t="shared" si="2"/>
        <v>28.68433372345762</v>
      </c>
      <c r="N23" s="11">
        <f t="shared" si="3"/>
        <v>0.93706855032910574</v>
      </c>
      <c r="O23" s="11">
        <f t="shared" si="4"/>
        <v>5.2892343972258029</v>
      </c>
      <c r="P23" s="8">
        <v>78</v>
      </c>
      <c r="Q23" s="8" t="s">
        <v>24</v>
      </c>
      <c r="R23" s="5" t="s">
        <v>20</v>
      </c>
      <c r="S23" s="5" t="s">
        <v>29</v>
      </c>
    </row>
    <row r="24" spans="1:19" x14ac:dyDescent="0.2">
      <c r="A24" s="5">
        <v>1</v>
      </c>
      <c r="B24" s="6" t="s">
        <v>68</v>
      </c>
      <c r="C24" s="7" t="s">
        <v>69</v>
      </c>
      <c r="D24" s="8">
        <v>6.9800000000000001E-2</v>
      </c>
      <c r="E24" s="7">
        <v>8.8239999999999998</v>
      </c>
      <c r="F24" s="7">
        <v>8.2889999999999997</v>
      </c>
      <c r="G24" s="7">
        <v>-16.286999999999999</v>
      </c>
      <c r="H24" s="7">
        <v>21.585000000000001</v>
      </c>
      <c r="I24" s="7">
        <v>2.7080000000000002</v>
      </c>
      <c r="J24" s="7">
        <v>15.566000000000001</v>
      </c>
      <c r="K24" s="10">
        <f t="shared" si="0"/>
        <v>19.606919599999998</v>
      </c>
      <c r="L24" s="11">
        <f t="shared" si="1"/>
        <v>8.5949578081050113</v>
      </c>
      <c r="M24" s="11">
        <f t="shared" si="2"/>
        <v>37.263166694532693</v>
      </c>
      <c r="N24" s="11">
        <f t="shared" si="3"/>
        <v>1.1842992454647616</v>
      </c>
      <c r="O24" s="11">
        <f t="shared" si="4"/>
        <v>5.0580462926716505</v>
      </c>
      <c r="P24" s="8">
        <v>84</v>
      </c>
      <c r="Q24" s="8" t="s">
        <v>32</v>
      </c>
      <c r="R24" s="5" t="s">
        <v>20</v>
      </c>
      <c r="S24" s="5" t="s">
        <v>37</v>
      </c>
    </row>
    <row r="25" spans="1:19" x14ac:dyDescent="0.2">
      <c r="A25" s="5">
        <v>1</v>
      </c>
      <c r="B25" s="6" t="s">
        <v>70</v>
      </c>
      <c r="C25" s="7" t="s">
        <v>71</v>
      </c>
      <c r="D25" s="8">
        <v>0.1002</v>
      </c>
      <c r="E25" s="7">
        <v>7.7220000000000004</v>
      </c>
      <c r="F25" s="7">
        <v>6.7770000000000001</v>
      </c>
      <c r="G25" s="7">
        <v>-15.301</v>
      </c>
      <c r="H25" s="7">
        <v>21.635000000000002</v>
      </c>
      <c r="I25" s="7">
        <v>2.2989999999999999</v>
      </c>
      <c r="J25" s="7">
        <v>15.27</v>
      </c>
      <c r="K25" s="10">
        <f t="shared" si="0"/>
        <v>19.242661999999999</v>
      </c>
      <c r="L25" s="11">
        <f t="shared" si="1"/>
        <v>7.0197937285133865</v>
      </c>
      <c r="M25" s="11">
        <f t="shared" si="2"/>
        <v>37.346764755057691</v>
      </c>
      <c r="N25" s="11">
        <f t="shared" si="3"/>
        <v>1.0201476962594316</v>
      </c>
      <c r="O25" s="11">
        <f t="shared" si="4"/>
        <v>6.2069096661041891</v>
      </c>
      <c r="P25" s="8">
        <v>77</v>
      </c>
      <c r="Q25" s="8" t="s">
        <v>24</v>
      </c>
      <c r="R25" s="5" t="s">
        <v>20</v>
      </c>
      <c r="S25" s="5" t="s">
        <v>29</v>
      </c>
    </row>
    <row r="26" spans="1:19" x14ac:dyDescent="0.2">
      <c r="A26" s="5">
        <v>1</v>
      </c>
      <c r="B26" s="6" t="s">
        <v>72</v>
      </c>
      <c r="C26" s="7" t="s">
        <v>73</v>
      </c>
      <c r="D26" s="8">
        <v>0.11890000000000001</v>
      </c>
      <c r="E26" s="9">
        <v>7.6459999999999999</v>
      </c>
      <c r="F26" s="9">
        <v>0.58399999999999996</v>
      </c>
      <c r="G26" s="7">
        <v>-14.457000000000001</v>
      </c>
      <c r="H26" s="7">
        <v>15.098000000000001</v>
      </c>
      <c r="I26" s="9">
        <v>4.8769999999999998</v>
      </c>
      <c r="J26" s="7">
        <v>19.055</v>
      </c>
      <c r="K26" s="10">
        <f t="shared" si="0"/>
        <v>23.900482999999998</v>
      </c>
      <c r="L26" s="11">
        <f t="shared" si="1"/>
        <v>0.56808000833420147</v>
      </c>
      <c r="M26" s="11">
        <f t="shared" si="2"/>
        <v>26.41715432201973</v>
      </c>
      <c r="N26" s="11">
        <f t="shared" si="3"/>
        <v>2.0548242093433937</v>
      </c>
      <c r="O26" s="11">
        <f t="shared" si="4"/>
        <v>54.252944873142361</v>
      </c>
      <c r="P26" s="8">
        <v>130</v>
      </c>
      <c r="Q26" s="8" t="s">
        <v>19</v>
      </c>
      <c r="R26" s="5" t="s">
        <v>20</v>
      </c>
      <c r="S26" s="5" t="s">
        <v>37</v>
      </c>
    </row>
    <row r="27" spans="1:19" x14ac:dyDescent="0.2">
      <c r="A27" s="13"/>
      <c r="B27" s="14"/>
      <c r="C27" s="15" t="s">
        <v>38</v>
      </c>
      <c r="D27" s="15">
        <v>9.2799999999999994E-2</v>
      </c>
      <c r="E27" s="15">
        <v>3.7130000000000001</v>
      </c>
      <c r="F27" s="15">
        <v>3.387</v>
      </c>
      <c r="G27" s="15">
        <v>-29.126999999999999</v>
      </c>
      <c r="H27" s="15">
        <v>25.417000000000002</v>
      </c>
      <c r="I27" s="15">
        <v>0.61099999999999999</v>
      </c>
      <c r="J27" s="15">
        <v>5.5149999999999997</v>
      </c>
      <c r="K27" s="16">
        <f t="shared" si="0"/>
        <v>7.2381589999999996</v>
      </c>
      <c r="L27" s="17">
        <f t="shared" si="1"/>
        <v>3.488175851651214</v>
      </c>
      <c r="M27" s="17">
        <f t="shared" si="2"/>
        <v>43.670122053168377</v>
      </c>
      <c r="N27" s="17">
        <f t="shared" si="3"/>
        <v>0.34267137582276447</v>
      </c>
      <c r="O27" s="17">
        <f t="shared" si="4"/>
        <v>14.606051384874625</v>
      </c>
      <c r="P27" s="18"/>
      <c r="Q27" s="18"/>
      <c r="R27" s="18"/>
      <c r="S27" s="18"/>
    </row>
    <row r="29" spans="1:19" x14ac:dyDescent="0.2">
      <c r="A29" s="1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5</v>
      </c>
      <c r="I29" s="3" t="s">
        <v>5</v>
      </c>
      <c r="J29" s="3" t="s">
        <v>7</v>
      </c>
      <c r="K29" s="4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15</v>
      </c>
      <c r="S29" s="1" t="s">
        <v>16</v>
      </c>
    </row>
    <row r="30" spans="1:19" x14ac:dyDescent="0.2">
      <c r="A30" s="5">
        <v>2</v>
      </c>
      <c r="B30" s="8" t="s">
        <v>17</v>
      </c>
      <c r="C30" s="7" t="s">
        <v>74</v>
      </c>
      <c r="D30" s="8">
        <v>7.6600000000000001E-2</v>
      </c>
      <c r="E30" s="7">
        <v>6.6550000000000002</v>
      </c>
      <c r="F30" s="9">
        <v>0.86</v>
      </c>
      <c r="G30" s="7">
        <v>-12.653</v>
      </c>
      <c r="H30" s="7">
        <v>16.442</v>
      </c>
      <c r="I30" s="7">
        <v>0.45600000000000002</v>
      </c>
      <c r="J30" s="7">
        <v>4.8179999999999996</v>
      </c>
      <c r="K30" s="10">
        <f>(J30*1.2306)+0.4514</f>
        <v>6.3804307999999992</v>
      </c>
      <c r="L30" s="11">
        <f>(F30-0.012)/1.0259</f>
        <v>0.82659128570036056</v>
      </c>
      <c r="M30" s="11">
        <f>(H30-0.0444)/0.6303</f>
        <v>26.015548151673809</v>
      </c>
      <c r="N30" s="11">
        <f>(I30+0.2944)/2.6242</f>
        <v>0.28595381449584634</v>
      </c>
      <c r="O30" s="11">
        <f>(M30/12)/(L30/14)</f>
        <v>36.718839611166494</v>
      </c>
      <c r="P30" s="8">
        <v>108</v>
      </c>
      <c r="Q30" s="8" t="s">
        <v>75</v>
      </c>
      <c r="R30" s="5" t="s">
        <v>20</v>
      </c>
      <c r="S30" s="5" t="s">
        <v>37</v>
      </c>
    </row>
    <row r="31" spans="1:19" x14ac:dyDescent="0.2">
      <c r="A31" s="5">
        <v>2</v>
      </c>
      <c r="B31" s="8" t="s">
        <v>22</v>
      </c>
      <c r="C31" s="7" t="s">
        <v>76</v>
      </c>
      <c r="D31" s="8">
        <v>7.7299999999999994E-2</v>
      </c>
      <c r="E31" s="7">
        <v>8.093</v>
      </c>
      <c r="F31" s="7">
        <v>6.649</v>
      </c>
      <c r="G31" s="7">
        <v>-19.093</v>
      </c>
      <c r="H31" s="7">
        <v>21.321000000000002</v>
      </c>
      <c r="I31" s="7">
        <v>1.5209999999999999</v>
      </c>
      <c r="J31" s="7">
        <v>7.6870000000000003</v>
      </c>
      <c r="K31" s="10">
        <f t="shared" ref="K31:K63" si="5">(J31*1.2306)+0.4514</f>
        <v>9.9110221999999997</v>
      </c>
      <c r="L31" s="11">
        <f t="shared" ref="L31:L63" si="6">(F31-0.012)/1.0259</f>
        <v>6.4694414660298278</v>
      </c>
      <c r="M31" s="11">
        <f t="shared" ref="M31:M63" si="7">(H31-0.0444)/0.6303</f>
        <v>33.756306520704435</v>
      </c>
      <c r="N31" s="11">
        <f t="shared" ref="N31:N63" si="8">(I31+0.2944)/2.6242</f>
        <v>0.69179178416279241</v>
      </c>
      <c r="O31" s="11">
        <f t="shared" ref="O31:O63" si="9">(M31/12)/(L31/14)</f>
        <v>6.0874432227696937</v>
      </c>
      <c r="P31" s="8">
        <v>140</v>
      </c>
      <c r="Q31" s="8" t="s">
        <v>77</v>
      </c>
      <c r="R31" s="5" t="s">
        <v>20</v>
      </c>
      <c r="S31" s="5" t="s">
        <v>37</v>
      </c>
    </row>
    <row r="32" spans="1:19" x14ac:dyDescent="0.2">
      <c r="A32" s="5">
        <v>2</v>
      </c>
      <c r="B32" s="8" t="s">
        <v>25</v>
      </c>
      <c r="C32" s="7" t="s">
        <v>78</v>
      </c>
      <c r="D32" s="8">
        <v>8.77E-2</v>
      </c>
      <c r="E32" s="7">
        <v>8.1950000000000003</v>
      </c>
      <c r="F32" s="7">
        <v>6.4790000000000001</v>
      </c>
      <c r="G32" s="7">
        <v>-17.228999999999999</v>
      </c>
      <c r="H32" s="7">
        <v>17.966999999999999</v>
      </c>
      <c r="I32" s="7">
        <v>1.702</v>
      </c>
      <c r="J32" s="7">
        <v>14.441000000000001</v>
      </c>
      <c r="K32" s="10">
        <f t="shared" si="5"/>
        <v>18.222494600000001</v>
      </c>
      <c r="L32" s="11">
        <f t="shared" si="6"/>
        <v>6.3037333073398969</v>
      </c>
      <c r="M32" s="11">
        <f t="shared" si="7"/>
        <v>28.43503093764874</v>
      </c>
      <c r="N32" s="11">
        <f t="shared" si="8"/>
        <v>0.76076518558036732</v>
      </c>
      <c r="O32" s="11">
        <f t="shared" si="9"/>
        <v>5.2626278973387173</v>
      </c>
      <c r="P32" s="8">
        <v>88</v>
      </c>
      <c r="Q32" s="8" t="s">
        <v>32</v>
      </c>
      <c r="R32" s="5" t="s">
        <v>20</v>
      </c>
      <c r="S32" s="5" t="s">
        <v>29</v>
      </c>
    </row>
    <row r="33" spans="1:19" x14ac:dyDescent="0.2">
      <c r="A33" s="5">
        <v>2</v>
      </c>
      <c r="B33" s="8" t="s">
        <v>79</v>
      </c>
      <c r="C33" s="7" t="s">
        <v>80</v>
      </c>
      <c r="D33" s="8">
        <v>7.1999999999999995E-2</v>
      </c>
      <c r="E33" s="7">
        <v>8.7629999999999999</v>
      </c>
      <c r="F33" s="7">
        <v>5.1219999999999999</v>
      </c>
      <c r="G33" s="7">
        <v>-14.606</v>
      </c>
      <c r="H33" s="7">
        <v>13.487</v>
      </c>
      <c r="I33" s="7">
        <v>1.839</v>
      </c>
      <c r="J33" s="7">
        <v>14.512</v>
      </c>
      <c r="K33" s="10">
        <f t="shared" si="5"/>
        <v>18.309867199999999</v>
      </c>
      <c r="L33" s="11">
        <f t="shared" si="6"/>
        <v>4.9809922994443907</v>
      </c>
      <c r="M33" s="11">
        <f t="shared" si="7"/>
        <v>21.327304458194511</v>
      </c>
      <c r="N33" s="11">
        <f t="shared" si="8"/>
        <v>0.81297157228869743</v>
      </c>
      <c r="O33" s="11">
        <f t="shared" si="9"/>
        <v>4.9953611058588461</v>
      </c>
      <c r="P33" s="8">
        <v>82</v>
      </c>
      <c r="Q33" s="8" t="s">
        <v>24</v>
      </c>
      <c r="R33" s="5" t="s">
        <v>20</v>
      </c>
      <c r="S33" s="5" t="s">
        <v>21</v>
      </c>
    </row>
    <row r="34" spans="1:19" x14ac:dyDescent="0.2">
      <c r="A34" s="5">
        <v>2</v>
      </c>
      <c r="B34" s="8" t="s">
        <v>81</v>
      </c>
      <c r="C34" s="7" t="s">
        <v>82</v>
      </c>
      <c r="D34" s="8">
        <v>8.5400000000000004E-2</v>
      </c>
      <c r="E34" s="7">
        <v>8.6639999999999997</v>
      </c>
      <c r="F34" s="7">
        <v>5.8739999999999997</v>
      </c>
      <c r="G34" s="7">
        <v>-15.593999999999999</v>
      </c>
      <c r="H34" s="7">
        <v>17.158000000000001</v>
      </c>
      <c r="I34" s="7">
        <v>1.98</v>
      </c>
      <c r="J34" s="7">
        <v>15.561999999999999</v>
      </c>
      <c r="K34" s="10">
        <f t="shared" si="5"/>
        <v>19.601997199999996</v>
      </c>
      <c r="L34" s="11">
        <f t="shared" si="6"/>
        <v>5.7140072131786726</v>
      </c>
      <c r="M34" s="11">
        <f t="shared" si="7"/>
        <v>27.151515151515156</v>
      </c>
      <c r="N34" s="11">
        <f t="shared" si="8"/>
        <v>0.8667022330615044</v>
      </c>
      <c r="O34" s="11">
        <f t="shared" si="9"/>
        <v>5.5437045308079096</v>
      </c>
      <c r="P34" s="8">
        <v>72</v>
      </c>
      <c r="Q34" s="8" t="s">
        <v>24</v>
      </c>
      <c r="R34" s="5" t="s">
        <v>20</v>
      </c>
      <c r="S34" s="5" t="s">
        <v>37</v>
      </c>
    </row>
    <row r="35" spans="1:19" x14ac:dyDescent="0.2">
      <c r="A35" s="5">
        <v>2</v>
      </c>
      <c r="B35" s="8" t="s">
        <v>83</v>
      </c>
      <c r="C35" s="7" t="s">
        <v>84</v>
      </c>
      <c r="D35" s="8">
        <v>6.6100000000000006E-2</v>
      </c>
      <c r="E35" s="7">
        <v>8.9339999999999993</v>
      </c>
      <c r="F35" s="7">
        <v>5.3630000000000004</v>
      </c>
      <c r="G35" s="7">
        <v>-16.637</v>
      </c>
      <c r="H35" s="7">
        <v>14.275</v>
      </c>
      <c r="I35" s="7">
        <v>1.581</v>
      </c>
      <c r="J35" s="7">
        <v>15.093999999999999</v>
      </c>
      <c r="K35" s="10">
        <f t="shared" si="5"/>
        <v>19.026076399999997</v>
      </c>
      <c r="L35" s="11">
        <f t="shared" si="6"/>
        <v>5.2159079832342341</v>
      </c>
      <c r="M35" s="11">
        <f t="shared" si="7"/>
        <v>22.57750277645566</v>
      </c>
      <c r="N35" s="11">
        <f t="shared" si="8"/>
        <v>0.71465589512994432</v>
      </c>
      <c r="O35" s="11">
        <f t="shared" si="9"/>
        <v>5.0500162177960819</v>
      </c>
      <c r="P35" s="8">
        <v>91</v>
      </c>
      <c r="Q35" s="8" t="s">
        <v>32</v>
      </c>
      <c r="R35" s="5" t="s">
        <v>20</v>
      </c>
      <c r="S35" s="5" t="s">
        <v>29</v>
      </c>
    </row>
    <row r="36" spans="1:19" x14ac:dyDescent="0.2">
      <c r="A36" s="13"/>
      <c r="B36" s="18"/>
      <c r="C36" s="15" t="s">
        <v>38</v>
      </c>
      <c r="D36" s="15">
        <v>0.15329999999999999</v>
      </c>
      <c r="E36" s="15">
        <v>4.0789999999999997</v>
      </c>
      <c r="F36" s="15">
        <v>6.2130000000000001</v>
      </c>
      <c r="G36" s="15">
        <v>-29.443999999999999</v>
      </c>
      <c r="H36" s="15">
        <v>46.164000000000001</v>
      </c>
      <c r="I36" s="15">
        <v>0.96699999999999997</v>
      </c>
      <c r="J36" s="15">
        <v>5.0369999999999999</v>
      </c>
      <c r="K36" s="16">
        <f t="shared" si="5"/>
        <v>6.6499322000000003</v>
      </c>
      <c r="L36" s="17">
        <f t="shared" si="6"/>
        <v>6.0444487766838879</v>
      </c>
      <c r="M36" s="17">
        <f t="shared" si="7"/>
        <v>73.170871013802952</v>
      </c>
      <c r="N36" s="17">
        <f t="shared" si="8"/>
        <v>0.48067982623275668</v>
      </c>
      <c r="O36" s="17">
        <f t="shared" si="9"/>
        <v>14.123044025464255</v>
      </c>
      <c r="P36" s="18"/>
      <c r="Q36" s="18"/>
      <c r="R36" s="13"/>
      <c r="S36" s="13"/>
    </row>
    <row r="37" spans="1:19" x14ac:dyDescent="0.2">
      <c r="A37" s="5">
        <v>2</v>
      </c>
      <c r="B37" s="8" t="s">
        <v>85</v>
      </c>
      <c r="C37" s="7" t="s">
        <v>86</v>
      </c>
      <c r="D37" s="8">
        <v>6.9199999999999998E-2</v>
      </c>
      <c r="E37" s="7">
        <v>9.16</v>
      </c>
      <c r="F37" s="7">
        <v>4.2329999999999997</v>
      </c>
      <c r="G37" s="7">
        <v>-17.911000000000001</v>
      </c>
      <c r="H37" s="7">
        <v>14.898</v>
      </c>
      <c r="I37" s="7">
        <v>1.1539999999999999</v>
      </c>
      <c r="J37" s="7">
        <v>7.92</v>
      </c>
      <c r="K37" s="10">
        <f t="shared" si="5"/>
        <v>10.197751999999999</v>
      </c>
      <c r="L37" s="11">
        <f t="shared" si="6"/>
        <v>4.1144361048835165</v>
      </c>
      <c r="M37" s="11">
        <f t="shared" si="7"/>
        <v>23.565920990004759</v>
      </c>
      <c r="N37" s="11">
        <f t="shared" si="8"/>
        <v>0.55193963874704666</v>
      </c>
      <c r="O37" s="11">
        <f t="shared" si="9"/>
        <v>6.6822217644129029</v>
      </c>
      <c r="P37" s="8">
        <v>141</v>
      </c>
      <c r="Q37" s="8" t="s">
        <v>77</v>
      </c>
      <c r="R37" s="5" t="s">
        <v>20</v>
      </c>
      <c r="S37" s="5" t="s">
        <v>37</v>
      </c>
    </row>
    <row r="38" spans="1:19" x14ac:dyDescent="0.2">
      <c r="A38" s="5">
        <v>2</v>
      </c>
      <c r="B38" s="8" t="s">
        <v>87</v>
      </c>
      <c r="C38" s="7" t="s">
        <v>88</v>
      </c>
      <c r="D38" s="8">
        <v>9.5799999999999996E-2</v>
      </c>
      <c r="E38" s="7">
        <v>6.3940000000000001</v>
      </c>
      <c r="F38" s="9">
        <v>0.86</v>
      </c>
      <c r="G38" s="7">
        <v>-12.371</v>
      </c>
      <c r="H38" s="7">
        <v>22.695</v>
      </c>
      <c r="I38" s="7">
        <v>0.68300000000000005</v>
      </c>
      <c r="J38" s="7">
        <v>10.967000000000001</v>
      </c>
      <c r="K38" s="10">
        <f t="shared" si="5"/>
        <v>13.947390199999999</v>
      </c>
      <c r="L38" s="11">
        <f t="shared" si="6"/>
        <v>0.82659128570036056</v>
      </c>
      <c r="M38" s="11">
        <f t="shared" si="7"/>
        <v>35.936220847215615</v>
      </c>
      <c r="N38" s="11">
        <f t="shared" si="8"/>
        <v>0.37245636765490436</v>
      </c>
      <c r="O38" s="11">
        <f t="shared" si="9"/>
        <v>50.721065796012091</v>
      </c>
      <c r="P38" s="8">
        <v>116</v>
      </c>
      <c r="Q38" s="8" t="s">
        <v>75</v>
      </c>
      <c r="R38" s="5" t="s">
        <v>20</v>
      </c>
      <c r="S38" s="5" t="s">
        <v>21</v>
      </c>
    </row>
    <row r="39" spans="1:19" x14ac:dyDescent="0.2">
      <c r="A39" s="5">
        <v>2</v>
      </c>
      <c r="B39" s="8" t="s">
        <v>89</v>
      </c>
      <c r="C39" s="7" t="s">
        <v>90</v>
      </c>
      <c r="D39" s="8">
        <v>9.7299999999999998E-2</v>
      </c>
      <c r="E39" s="7">
        <v>8.6859999999999999</v>
      </c>
      <c r="F39" s="7">
        <v>3.6619999999999999</v>
      </c>
      <c r="G39" s="7">
        <v>-17.919</v>
      </c>
      <c r="H39" s="7">
        <v>10.525</v>
      </c>
      <c r="I39" s="7">
        <v>1.2410000000000001</v>
      </c>
      <c r="J39" s="7">
        <v>14.734999999999999</v>
      </c>
      <c r="K39" s="10">
        <f t="shared" si="5"/>
        <v>18.584290999999997</v>
      </c>
      <c r="L39" s="11">
        <f t="shared" si="6"/>
        <v>3.5578516424602786</v>
      </c>
      <c r="M39" s="11">
        <f t="shared" si="7"/>
        <v>16.627954942091069</v>
      </c>
      <c r="N39" s="11">
        <f t="shared" si="8"/>
        <v>0.58509259964941696</v>
      </c>
      <c r="O39" s="11">
        <f t="shared" si="9"/>
        <v>5.452526613042858</v>
      </c>
      <c r="P39" s="8">
        <v>94</v>
      </c>
      <c r="Q39" s="8" t="s">
        <v>32</v>
      </c>
      <c r="R39" s="5" t="s">
        <v>20</v>
      </c>
      <c r="S39" s="5" t="s">
        <v>21</v>
      </c>
    </row>
    <row r="40" spans="1:19" x14ac:dyDescent="0.2">
      <c r="A40" s="5">
        <v>2</v>
      </c>
      <c r="B40" s="8" t="s">
        <v>91</v>
      </c>
      <c r="C40" s="7" t="s">
        <v>92</v>
      </c>
      <c r="D40" s="8">
        <v>9.5899999999999999E-2</v>
      </c>
      <c r="E40" s="7">
        <v>8.75</v>
      </c>
      <c r="F40" s="7">
        <v>8.3539999999999992</v>
      </c>
      <c r="G40" s="7">
        <v>-21.271000000000001</v>
      </c>
      <c r="H40" s="7">
        <v>21.638000000000002</v>
      </c>
      <c r="I40" s="9">
        <v>3.9710000000000001</v>
      </c>
      <c r="J40" s="7">
        <v>15.025</v>
      </c>
      <c r="K40" s="10">
        <f t="shared" si="5"/>
        <v>18.941164999999998</v>
      </c>
      <c r="L40" s="11">
        <f t="shared" si="6"/>
        <v>8.1313968223023672</v>
      </c>
      <c r="M40" s="11">
        <f t="shared" si="7"/>
        <v>34.259241630969385</v>
      </c>
      <c r="N40" s="11">
        <f t="shared" si="8"/>
        <v>1.625409648654828</v>
      </c>
      <c r="O40" s="11">
        <f t="shared" si="9"/>
        <v>4.9154058164405123</v>
      </c>
      <c r="P40" s="8">
        <v>43</v>
      </c>
      <c r="Q40" s="21" t="s">
        <v>93</v>
      </c>
      <c r="R40" s="5" t="s">
        <v>94</v>
      </c>
      <c r="S40" s="5" t="s">
        <v>95</v>
      </c>
    </row>
    <row r="41" spans="1:19" x14ac:dyDescent="0.2">
      <c r="A41" s="5">
        <v>2</v>
      </c>
      <c r="B41" s="8" t="s">
        <v>96</v>
      </c>
      <c r="C41" s="7" t="s">
        <v>97</v>
      </c>
      <c r="D41" s="8">
        <v>8.8499999999999995E-2</v>
      </c>
      <c r="E41" s="7">
        <v>8.4629999999999992</v>
      </c>
      <c r="F41" s="7">
        <v>4.4820000000000002</v>
      </c>
      <c r="G41" s="7">
        <v>-14.81</v>
      </c>
      <c r="H41" s="7">
        <v>14.555</v>
      </c>
      <c r="I41" s="7">
        <v>1.171</v>
      </c>
      <c r="J41" s="7">
        <v>10.388999999999999</v>
      </c>
      <c r="K41" s="10">
        <f t="shared" si="5"/>
        <v>13.236103399999998</v>
      </c>
      <c r="L41" s="11">
        <f t="shared" si="6"/>
        <v>4.3571498196705338</v>
      </c>
      <c r="M41" s="11">
        <f t="shared" si="7"/>
        <v>23.021735681421546</v>
      </c>
      <c r="N41" s="11">
        <f t="shared" si="8"/>
        <v>0.55841780352107306</v>
      </c>
      <c r="O41" s="11">
        <f t="shared" si="9"/>
        <v>6.1642800316552027</v>
      </c>
      <c r="P41" s="8">
        <v>58</v>
      </c>
      <c r="Q41" s="8" t="s">
        <v>98</v>
      </c>
      <c r="R41" s="5" t="s">
        <v>94</v>
      </c>
      <c r="S41" s="5" t="s">
        <v>95</v>
      </c>
    </row>
    <row r="42" spans="1:19" x14ac:dyDescent="0.2">
      <c r="A42" s="5">
        <v>2</v>
      </c>
      <c r="B42" s="8" t="s">
        <v>99</v>
      </c>
      <c r="C42" s="7" t="s">
        <v>100</v>
      </c>
      <c r="D42" s="8">
        <v>8.5900000000000004E-2</v>
      </c>
      <c r="E42" s="7">
        <v>7.5810000000000004</v>
      </c>
      <c r="F42" s="7">
        <v>3.839</v>
      </c>
      <c r="G42" s="7">
        <v>-20.681999999999999</v>
      </c>
      <c r="H42" s="7">
        <v>8.8109999999999999</v>
      </c>
      <c r="I42" s="7">
        <v>0.755</v>
      </c>
      <c r="J42" s="7">
        <v>11.01</v>
      </c>
      <c r="K42" s="10">
        <f t="shared" si="5"/>
        <v>14.000305999999998</v>
      </c>
      <c r="L42" s="11">
        <f t="shared" si="6"/>
        <v>3.7303830782727361</v>
      </c>
      <c r="M42" s="11">
        <f t="shared" si="7"/>
        <v>13.90861494526416</v>
      </c>
      <c r="N42" s="11">
        <f t="shared" si="8"/>
        <v>0.39989330081548657</v>
      </c>
      <c r="O42" s="11">
        <f t="shared" si="9"/>
        <v>4.3498796492651124</v>
      </c>
      <c r="P42" s="8">
        <v>57</v>
      </c>
      <c r="Q42" s="8" t="s">
        <v>98</v>
      </c>
      <c r="R42" s="5" t="s">
        <v>94</v>
      </c>
      <c r="S42" s="5" t="s">
        <v>95</v>
      </c>
    </row>
    <row r="43" spans="1:19" x14ac:dyDescent="0.2">
      <c r="A43" s="13"/>
      <c r="B43" s="18"/>
      <c r="C43" s="15" t="s">
        <v>38</v>
      </c>
      <c r="D43" s="15">
        <v>0.13969999999999999</v>
      </c>
      <c r="E43" s="15">
        <v>3.6110000000000002</v>
      </c>
      <c r="F43" s="15">
        <v>5.5960000000000001</v>
      </c>
      <c r="G43" s="15">
        <v>-29.286999999999999</v>
      </c>
      <c r="H43" s="15">
        <v>40.271999999999998</v>
      </c>
      <c r="I43" s="15">
        <v>0.82199999999999995</v>
      </c>
      <c r="J43" s="15">
        <v>5.3049999999999997</v>
      </c>
      <c r="K43" s="16">
        <f t="shared" si="5"/>
        <v>6.9797329999999995</v>
      </c>
      <c r="L43" s="17">
        <f t="shared" si="6"/>
        <v>5.4430256360269036</v>
      </c>
      <c r="M43" s="17">
        <f t="shared" si="7"/>
        <v>63.822941456449307</v>
      </c>
      <c r="N43" s="17">
        <f t="shared" si="8"/>
        <v>0.4254248913954729</v>
      </c>
      <c r="O43" s="17">
        <f t="shared" si="9"/>
        <v>13.679909547552512</v>
      </c>
      <c r="P43" s="18"/>
      <c r="Q43" s="18"/>
      <c r="R43" s="13"/>
      <c r="S43" s="13"/>
    </row>
    <row r="44" spans="1:19" x14ac:dyDescent="0.2">
      <c r="A44" s="5">
        <v>2</v>
      </c>
      <c r="B44" s="8" t="s">
        <v>30</v>
      </c>
      <c r="C44" s="7" t="s">
        <v>101</v>
      </c>
      <c r="D44" s="8">
        <v>7.3300000000000004E-2</v>
      </c>
      <c r="E44" s="7">
        <v>8.2370000000000001</v>
      </c>
      <c r="F44" s="7">
        <v>4.0389999999999997</v>
      </c>
      <c r="G44" s="7">
        <v>-14.959</v>
      </c>
      <c r="H44" s="7">
        <v>11.065</v>
      </c>
      <c r="I44" s="7">
        <v>1.1459999999999999</v>
      </c>
      <c r="J44" s="7">
        <v>14.766</v>
      </c>
      <c r="K44" s="10">
        <f t="shared" si="5"/>
        <v>18.6224396</v>
      </c>
      <c r="L44" s="11">
        <f t="shared" si="6"/>
        <v>3.9253338532020665</v>
      </c>
      <c r="M44" s="11">
        <f t="shared" si="7"/>
        <v>17.484689830239571</v>
      </c>
      <c r="N44" s="11">
        <f t="shared" si="8"/>
        <v>0.54889109061809305</v>
      </c>
      <c r="O44" s="11">
        <f t="shared" si="9"/>
        <v>5.1967056981168547</v>
      </c>
      <c r="P44" s="8">
        <v>74</v>
      </c>
      <c r="Q44" s="8" t="s">
        <v>24</v>
      </c>
      <c r="R44" s="5" t="s">
        <v>20</v>
      </c>
      <c r="S44" s="5" t="s">
        <v>37</v>
      </c>
    </row>
    <row r="45" spans="1:19" x14ac:dyDescent="0.2">
      <c r="A45" s="5">
        <v>2</v>
      </c>
      <c r="B45" s="8" t="s">
        <v>33</v>
      </c>
      <c r="C45" s="7" t="s">
        <v>102</v>
      </c>
      <c r="D45" s="8">
        <v>8.4400000000000003E-2</v>
      </c>
      <c r="E45" s="7">
        <v>8.9420000000000002</v>
      </c>
      <c r="F45" s="7">
        <v>5.9569999999999999</v>
      </c>
      <c r="G45" s="7">
        <v>-13.157999999999999</v>
      </c>
      <c r="H45" s="7">
        <v>16.513999999999999</v>
      </c>
      <c r="I45" s="7">
        <v>1.8069999999999999</v>
      </c>
      <c r="J45" s="7">
        <v>16.553999999999998</v>
      </c>
      <c r="K45" s="10">
        <f t="shared" si="5"/>
        <v>20.822752399999995</v>
      </c>
      <c r="L45" s="11">
        <f t="shared" si="6"/>
        <v>5.794911784774345</v>
      </c>
      <c r="M45" s="11">
        <f t="shared" si="7"/>
        <v>26.129779470093606</v>
      </c>
      <c r="N45" s="11">
        <f t="shared" si="8"/>
        <v>0.8007773797728831</v>
      </c>
      <c r="O45" s="11">
        <f t="shared" si="9"/>
        <v>5.2606051390127053</v>
      </c>
      <c r="P45" s="8">
        <v>73</v>
      </c>
      <c r="Q45" s="8" t="s">
        <v>24</v>
      </c>
      <c r="R45" s="5" t="s">
        <v>20</v>
      </c>
      <c r="S45" s="5" t="s">
        <v>37</v>
      </c>
    </row>
    <row r="46" spans="1:19" x14ac:dyDescent="0.2">
      <c r="A46" s="5">
        <v>2</v>
      </c>
      <c r="B46" s="8" t="s">
        <v>35</v>
      </c>
      <c r="C46" s="7" t="s">
        <v>103</v>
      </c>
      <c r="D46" s="8">
        <v>8.6400000000000005E-2</v>
      </c>
      <c r="E46" s="7">
        <v>8.4649999999999999</v>
      </c>
      <c r="F46" s="7">
        <v>2.8759999999999999</v>
      </c>
      <c r="G46" s="7">
        <v>-17.282</v>
      </c>
      <c r="H46" s="7">
        <v>7.9050000000000002</v>
      </c>
      <c r="I46" s="7">
        <v>0.93799999999999994</v>
      </c>
      <c r="J46" s="7">
        <v>13.933</v>
      </c>
      <c r="K46" s="10">
        <f t="shared" si="5"/>
        <v>17.5973498</v>
      </c>
      <c r="L46" s="11">
        <f t="shared" si="6"/>
        <v>2.7916950969880103</v>
      </c>
      <c r="M46" s="11">
        <f t="shared" si="7"/>
        <v>12.471204188481675</v>
      </c>
      <c r="N46" s="11">
        <f t="shared" si="8"/>
        <v>0.46962883926529986</v>
      </c>
      <c r="O46" s="11">
        <f t="shared" si="9"/>
        <v>5.2117934496475478</v>
      </c>
      <c r="P46" s="8">
        <v>92</v>
      </c>
      <c r="Q46" s="8" t="s">
        <v>32</v>
      </c>
      <c r="R46" s="5" t="s">
        <v>20</v>
      </c>
      <c r="S46" s="5" t="s">
        <v>21</v>
      </c>
    </row>
    <row r="47" spans="1:19" x14ac:dyDescent="0.2">
      <c r="A47" s="5">
        <v>2</v>
      </c>
      <c r="B47" s="8" t="s">
        <v>104</v>
      </c>
      <c r="C47" s="7" t="s">
        <v>105</v>
      </c>
      <c r="D47" s="8">
        <v>9.3700000000000006E-2</v>
      </c>
      <c r="E47" s="7">
        <v>8.6</v>
      </c>
      <c r="F47" s="7">
        <v>12.782</v>
      </c>
      <c r="G47" s="7">
        <v>-20.736000000000001</v>
      </c>
      <c r="H47" s="7">
        <v>29.584</v>
      </c>
      <c r="I47" s="9">
        <v>3.3050000000000002</v>
      </c>
      <c r="J47" s="7">
        <v>12.234</v>
      </c>
      <c r="K47" s="10">
        <f t="shared" si="5"/>
        <v>15.506560399999998</v>
      </c>
      <c r="L47" s="11">
        <f t="shared" si="6"/>
        <v>12.447606979237742</v>
      </c>
      <c r="M47" s="11">
        <f t="shared" si="7"/>
        <v>46.865936855465655</v>
      </c>
      <c r="N47" s="11">
        <f t="shared" si="8"/>
        <v>1.3716180169194421</v>
      </c>
      <c r="O47" s="11">
        <f t="shared" si="9"/>
        <v>4.3925652876553842</v>
      </c>
      <c r="P47" s="8">
        <v>55</v>
      </c>
      <c r="Q47" s="8" t="s">
        <v>24</v>
      </c>
      <c r="R47" s="5" t="s">
        <v>94</v>
      </c>
      <c r="S47" s="5" t="s">
        <v>95</v>
      </c>
    </row>
    <row r="48" spans="1:19" x14ac:dyDescent="0.2">
      <c r="A48" s="5">
        <v>2</v>
      </c>
      <c r="B48" s="8" t="s">
        <v>106</v>
      </c>
      <c r="C48" s="7" t="s">
        <v>107</v>
      </c>
      <c r="D48" s="8">
        <v>6.4299999999999996E-2</v>
      </c>
      <c r="E48" s="7">
        <v>7.2309999999999999</v>
      </c>
      <c r="F48" s="7">
        <v>13.884</v>
      </c>
      <c r="G48" s="7">
        <v>-26.914000000000001</v>
      </c>
      <c r="H48" s="7">
        <v>67.891999999999996</v>
      </c>
      <c r="I48" s="9">
        <v>3.1230000000000002</v>
      </c>
      <c r="J48" s="7">
        <v>8.9039999999999999</v>
      </c>
      <c r="K48" s="10">
        <f t="shared" si="5"/>
        <v>11.408662399999999</v>
      </c>
      <c r="L48" s="11">
        <f t="shared" si="6"/>
        <v>13.521785749098353</v>
      </c>
      <c r="M48" s="11">
        <f t="shared" si="7"/>
        <v>107.64334443915597</v>
      </c>
      <c r="N48" s="11">
        <f t="shared" si="8"/>
        <v>1.302263546985748</v>
      </c>
      <c r="O48" s="11">
        <f t="shared" si="9"/>
        <v>9.2875234215315103</v>
      </c>
      <c r="P48" s="8">
        <v>151</v>
      </c>
      <c r="Q48" s="8" t="s">
        <v>61</v>
      </c>
      <c r="R48" s="5" t="s">
        <v>20</v>
      </c>
      <c r="S48" s="5" t="s">
        <v>37</v>
      </c>
    </row>
    <row r="49" spans="1:19" x14ac:dyDescent="0.2">
      <c r="A49" s="5">
        <v>2</v>
      </c>
      <c r="B49" s="8" t="s">
        <v>108</v>
      </c>
      <c r="C49" s="7" t="s">
        <v>109</v>
      </c>
      <c r="D49" s="8">
        <v>6.4899999999999999E-2</v>
      </c>
      <c r="E49" s="7">
        <v>8.9079999999999995</v>
      </c>
      <c r="F49" s="7">
        <v>6.282</v>
      </c>
      <c r="G49" s="7">
        <v>-21.459</v>
      </c>
      <c r="H49" s="7">
        <v>17.36</v>
      </c>
      <c r="I49" s="9">
        <v>3.089</v>
      </c>
      <c r="J49" s="7">
        <v>15.939</v>
      </c>
      <c r="K49" s="10">
        <f t="shared" si="5"/>
        <v>20.065933399999999</v>
      </c>
      <c r="L49" s="11">
        <f t="shared" si="6"/>
        <v>6.1117067940345065</v>
      </c>
      <c r="M49" s="11">
        <f t="shared" si="7"/>
        <v>27.471997461526257</v>
      </c>
      <c r="N49" s="11">
        <f t="shared" si="8"/>
        <v>1.2893072174376952</v>
      </c>
      <c r="O49" s="11">
        <f t="shared" si="9"/>
        <v>5.2441428859770998</v>
      </c>
      <c r="P49" s="8">
        <v>42</v>
      </c>
      <c r="Q49" s="8" t="s">
        <v>93</v>
      </c>
      <c r="R49" s="5" t="s">
        <v>94</v>
      </c>
      <c r="S49" s="5" t="s">
        <v>95</v>
      </c>
    </row>
    <row r="50" spans="1:19" x14ac:dyDescent="0.2">
      <c r="A50" s="13"/>
      <c r="B50" s="18"/>
      <c r="C50" s="15" t="s">
        <v>38</v>
      </c>
      <c r="D50" s="15">
        <v>0.1812</v>
      </c>
      <c r="E50" s="15">
        <v>3.6360000000000001</v>
      </c>
      <c r="F50" s="15">
        <v>7.0659999999999998</v>
      </c>
      <c r="G50" s="15">
        <v>-29.266999999999999</v>
      </c>
      <c r="H50" s="15">
        <v>50.552999999999997</v>
      </c>
      <c r="I50" s="15">
        <v>1.125</v>
      </c>
      <c r="J50" s="15">
        <v>5.44</v>
      </c>
      <c r="K50" s="16">
        <f t="shared" si="5"/>
        <v>7.1458639999999995</v>
      </c>
      <c r="L50" s="17">
        <f t="shared" si="6"/>
        <v>6.8759138317574813</v>
      </c>
      <c r="M50" s="17">
        <f t="shared" si="7"/>
        <v>80.134221799143262</v>
      </c>
      <c r="N50" s="17">
        <f t="shared" si="8"/>
        <v>0.54088865177959</v>
      </c>
      <c r="O50" s="17">
        <f t="shared" si="9"/>
        <v>13.596727317980047</v>
      </c>
      <c r="P50" s="18"/>
      <c r="Q50" s="18"/>
      <c r="R50" s="13"/>
      <c r="S50" s="13"/>
    </row>
    <row r="51" spans="1:19" x14ac:dyDescent="0.2">
      <c r="A51" s="5">
        <v>2</v>
      </c>
      <c r="B51" s="8" t="s">
        <v>110</v>
      </c>
      <c r="C51" s="7" t="s">
        <v>111</v>
      </c>
      <c r="D51" s="8">
        <v>7.0400000000000004E-2</v>
      </c>
      <c r="E51" s="7">
        <v>8.69</v>
      </c>
      <c r="F51" s="7">
        <v>4.3650000000000002</v>
      </c>
      <c r="G51" s="7">
        <v>-13.683999999999999</v>
      </c>
      <c r="H51" s="7">
        <v>13.308999999999999</v>
      </c>
      <c r="I51" s="7">
        <v>1.3420000000000001</v>
      </c>
      <c r="J51" s="7">
        <v>15.808999999999999</v>
      </c>
      <c r="K51" s="10">
        <f t="shared" si="5"/>
        <v>19.905955399999996</v>
      </c>
      <c r="L51" s="11">
        <f t="shared" si="6"/>
        <v>4.2431036163368754</v>
      </c>
      <c r="M51" s="11">
        <f t="shared" si="7"/>
        <v>21.04489925432334</v>
      </c>
      <c r="N51" s="11">
        <f t="shared" si="8"/>
        <v>0.62358051977745599</v>
      </c>
      <c r="O51" s="11">
        <f t="shared" si="9"/>
        <v>5.7864206683158041</v>
      </c>
      <c r="P51" s="8">
        <v>79</v>
      </c>
      <c r="Q51" s="8" t="s">
        <v>24</v>
      </c>
      <c r="R51" s="5" t="s">
        <v>20</v>
      </c>
      <c r="S51" s="5" t="s">
        <v>29</v>
      </c>
    </row>
    <row r="52" spans="1:19" x14ac:dyDescent="0.2">
      <c r="A52" s="5">
        <v>2</v>
      </c>
      <c r="B52" s="8" t="s">
        <v>112</v>
      </c>
      <c r="C52" s="7" t="s">
        <v>113</v>
      </c>
      <c r="D52" s="8">
        <v>6.1400000000000003E-2</v>
      </c>
      <c r="E52" s="7">
        <v>9.7469999999999999</v>
      </c>
      <c r="F52" s="7">
        <v>4.681</v>
      </c>
      <c r="G52" s="7">
        <v>-14.513</v>
      </c>
      <c r="H52" s="7">
        <v>13.381</v>
      </c>
      <c r="I52" s="7">
        <v>1.5449999999999999</v>
      </c>
      <c r="J52" s="7">
        <v>15.048</v>
      </c>
      <c r="K52" s="10">
        <f t="shared" si="5"/>
        <v>18.969468799999998</v>
      </c>
      <c r="L52" s="11">
        <f t="shared" si="6"/>
        <v>4.5511258407252173</v>
      </c>
      <c r="M52" s="11">
        <f t="shared" si="7"/>
        <v>21.159130572743141</v>
      </c>
      <c r="N52" s="11">
        <f t="shared" si="8"/>
        <v>0.70093742854965313</v>
      </c>
      <c r="O52" s="11">
        <f t="shared" si="9"/>
        <v>5.4240759756564687</v>
      </c>
      <c r="P52" s="8">
        <v>75</v>
      </c>
      <c r="Q52" s="8" t="s">
        <v>24</v>
      </c>
      <c r="R52" s="5" t="s">
        <v>20</v>
      </c>
      <c r="S52" s="5" t="s">
        <v>37</v>
      </c>
    </row>
    <row r="53" spans="1:19" x14ac:dyDescent="0.2">
      <c r="A53" s="5">
        <v>2</v>
      </c>
      <c r="B53" s="8" t="s">
        <v>114</v>
      </c>
      <c r="C53" s="7" t="s">
        <v>115</v>
      </c>
      <c r="D53" s="8">
        <v>6.5600000000000006E-2</v>
      </c>
      <c r="E53" s="7">
        <v>9.7650000000000006</v>
      </c>
      <c r="F53" s="7">
        <v>1.865</v>
      </c>
      <c r="G53" s="7">
        <v>-21.991</v>
      </c>
      <c r="H53" s="7">
        <v>5.4729999999999999</v>
      </c>
      <c r="I53" s="7">
        <v>0.41299999999999998</v>
      </c>
      <c r="J53" s="7">
        <v>11.347</v>
      </c>
      <c r="K53" s="10">
        <f t="shared" si="5"/>
        <v>14.415018199999999</v>
      </c>
      <c r="L53" s="11">
        <f t="shared" si="6"/>
        <v>1.8062189297202456</v>
      </c>
      <c r="M53" s="11">
        <f t="shared" si="7"/>
        <v>8.6127240996350931</v>
      </c>
      <c r="N53" s="11">
        <f t="shared" si="8"/>
        <v>0.26956786830272084</v>
      </c>
      <c r="O53" s="11">
        <f t="shared" si="9"/>
        <v>5.5631008793586529</v>
      </c>
      <c r="P53" s="8">
        <v>4</v>
      </c>
      <c r="Q53" s="8" t="s">
        <v>116</v>
      </c>
      <c r="R53" s="5" t="s">
        <v>94</v>
      </c>
      <c r="S53" s="5" t="s">
        <v>95</v>
      </c>
    </row>
    <row r="54" spans="1:19" x14ac:dyDescent="0.2">
      <c r="A54" s="5">
        <v>2</v>
      </c>
      <c r="B54" s="8" t="s">
        <v>117</v>
      </c>
      <c r="C54" s="7" t="s">
        <v>118</v>
      </c>
      <c r="D54" s="8">
        <v>8.5699999999999998E-2</v>
      </c>
      <c r="E54" s="7">
        <v>9.4309999999999992</v>
      </c>
      <c r="F54" s="7">
        <v>4.2130000000000001</v>
      </c>
      <c r="G54" s="7">
        <v>-16.809999999999999</v>
      </c>
      <c r="H54" s="7">
        <v>13.638999999999999</v>
      </c>
      <c r="I54" s="7">
        <v>1.232</v>
      </c>
      <c r="J54" s="7">
        <v>15.228</v>
      </c>
      <c r="K54" s="10">
        <f t="shared" si="5"/>
        <v>19.190976799999998</v>
      </c>
      <c r="L54" s="11">
        <f t="shared" si="6"/>
        <v>4.0949410273905844</v>
      </c>
      <c r="M54" s="11">
        <f t="shared" si="7"/>
        <v>21.568459463747423</v>
      </c>
      <c r="N54" s="11">
        <f t="shared" si="8"/>
        <v>0.58166298300434416</v>
      </c>
      <c r="O54" s="11">
        <f t="shared" si="9"/>
        <v>6.1449487402606264</v>
      </c>
      <c r="P54" s="8">
        <v>52</v>
      </c>
      <c r="Q54" s="8" t="s">
        <v>24</v>
      </c>
      <c r="R54" s="5" t="s">
        <v>94</v>
      </c>
      <c r="S54" s="5" t="s">
        <v>95</v>
      </c>
    </row>
    <row r="55" spans="1:19" x14ac:dyDescent="0.2">
      <c r="A55" s="5">
        <v>2</v>
      </c>
      <c r="B55" s="8" t="s">
        <v>119</v>
      </c>
      <c r="C55" s="7" t="s">
        <v>120</v>
      </c>
      <c r="D55" s="8">
        <v>6.6199999999999995E-2</v>
      </c>
      <c r="E55" s="7">
        <v>8.7650000000000006</v>
      </c>
      <c r="F55" s="7">
        <v>4.3600000000000003</v>
      </c>
      <c r="G55" s="7">
        <v>-16.356000000000002</v>
      </c>
      <c r="H55" s="7">
        <v>14.331</v>
      </c>
      <c r="I55" s="7">
        <v>1.29</v>
      </c>
      <c r="J55" s="7">
        <v>14.34</v>
      </c>
      <c r="K55" s="10">
        <f t="shared" si="5"/>
        <v>18.098203999999999</v>
      </c>
      <c r="L55" s="11">
        <f t="shared" si="6"/>
        <v>4.2382298469636419</v>
      </c>
      <c r="M55" s="11">
        <f t="shared" si="7"/>
        <v>22.666349357448834</v>
      </c>
      <c r="N55" s="11">
        <f t="shared" si="8"/>
        <v>0.60376495693925769</v>
      </c>
      <c r="O55" s="11">
        <f t="shared" si="9"/>
        <v>6.239414851297429</v>
      </c>
      <c r="P55" s="8">
        <v>81</v>
      </c>
      <c r="Q55" s="8" t="s">
        <v>24</v>
      </c>
      <c r="R55" s="5" t="s">
        <v>20</v>
      </c>
      <c r="S55" s="5" t="s">
        <v>21</v>
      </c>
    </row>
    <row r="56" spans="1:19" x14ac:dyDescent="0.2">
      <c r="A56" s="5">
        <v>2</v>
      </c>
      <c r="B56" s="8" t="s">
        <v>121</v>
      </c>
      <c r="C56" s="7" t="s">
        <v>122</v>
      </c>
      <c r="D56" s="8">
        <v>8.7300000000000003E-2</v>
      </c>
      <c r="E56" s="7">
        <v>10.039</v>
      </c>
      <c r="F56" s="7">
        <v>3.117</v>
      </c>
      <c r="G56" s="7">
        <v>-17.547999999999998</v>
      </c>
      <c r="H56" s="7">
        <v>8.2609999999999992</v>
      </c>
      <c r="I56" s="7">
        <v>0.80800000000000005</v>
      </c>
      <c r="J56" s="7">
        <v>10.734999999999999</v>
      </c>
      <c r="K56" s="10">
        <f t="shared" si="5"/>
        <v>13.661890999999997</v>
      </c>
      <c r="L56" s="11">
        <f t="shared" si="6"/>
        <v>3.0266107807778533</v>
      </c>
      <c r="M56" s="11">
        <f t="shared" si="7"/>
        <v>13.036014596224021</v>
      </c>
      <c r="N56" s="11">
        <f t="shared" si="8"/>
        <v>0.42008993216980411</v>
      </c>
      <c r="O56" s="11">
        <f t="shared" si="9"/>
        <v>5.0249882780388395</v>
      </c>
      <c r="P56" s="8">
        <v>8</v>
      </c>
      <c r="Q56" s="8" t="s">
        <v>32</v>
      </c>
      <c r="R56" s="5" t="s">
        <v>94</v>
      </c>
      <c r="S56" s="5" t="s">
        <v>95</v>
      </c>
    </row>
    <row r="57" spans="1:19" x14ac:dyDescent="0.2">
      <c r="A57" s="5">
        <v>2</v>
      </c>
      <c r="B57" s="8" t="s">
        <v>39</v>
      </c>
      <c r="C57" s="7" t="s">
        <v>123</v>
      </c>
      <c r="D57" s="8">
        <v>0.1061</v>
      </c>
      <c r="E57" s="7">
        <v>5.9950000000000001</v>
      </c>
      <c r="F57" s="9">
        <v>0.81899999999999995</v>
      </c>
      <c r="G57" s="7">
        <v>-11.683999999999999</v>
      </c>
      <c r="H57" s="7">
        <v>23.984999999999999</v>
      </c>
      <c r="I57" s="7">
        <v>0.89400000000000002</v>
      </c>
      <c r="J57" s="7">
        <v>8.6379999999999999</v>
      </c>
      <c r="K57" s="10">
        <f t="shared" si="5"/>
        <v>11.081322799999999</v>
      </c>
      <c r="L57" s="11">
        <f t="shared" si="6"/>
        <v>0.78662637683984782</v>
      </c>
      <c r="M57" s="11">
        <f t="shared" si="7"/>
        <v>37.98286530223703</v>
      </c>
      <c r="N57" s="11">
        <f t="shared" si="8"/>
        <v>0.45286182455605523</v>
      </c>
      <c r="O57" s="11">
        <f t="shared" si="9"/>
        <v>56.3334057403872</v>
      </c>
      <c r="P57" s="8">
        <v>109</v>
      </c>
      <c r="Q57" s="8" t="s">
        <v>75</v>
      </c>
      <c r="R57" s="5" t="s">
        <v>20</v>
      </c>
      <c r="S57" s="5" t="s">
        <v>29</v>
      </c>
    </row>
    <row r="58" spans="1:19" x14ac:dyDescent="0.2">
      <c r="A58" s="5">
        <v>2</v>
      </c>
      <c r="B58" s="8" t="s">
        <v>41</v>
      </c>
      <c r="C58" s="7" t="s">
        <v>124</v>
      </c>
      <c r="D58" s="8">
        <v>6.1100000000000002E-2</v>
      </c>
      <c r="E58" s="7">
        <v>9.14</v>
      </c>
      <c r="F58" s="7">
        <v>3.9990000000000001</v>
      </c>
      <c r="G58" s="7">
        <v>-18.184000000000001</v>
      </c>
      <c r="H58" s="7">
        <v>11.659000000000001</v>
      </c>
      <c r="I58" s="7">
        <v>1.1739999999999999</v>
      </c>
      <c r="J58" s="7">
        <v>12.005000000000001</v>
      </c>
      <c r="K58" s="10">
        <f t="shared" si="5"/>
        <v>15.224753</v>
      </c>
      <c r="L58" s="11">
        <f t="shared" si="6"/>
        <v>3.8863436982162005</v>
      </c>
      <c r="M58" s="11">
        <f t="shared" si="7"/>
        <v>18.427098207202921</v>
      </c>
      <c r="N58" s="11">
        <f t="shared" si="8"/>
        <v>0.55956100906943063</v>
      </c>
      <c r="O58" s="11">
        <f t="shared" si="9"/>
        <v>5.5317498685472088</v>
      </c>
      <c r="P58" s="8">
        <v>9</v>
      </c>
      <c r="Q58" s="8" t="s">
        <v>32</v>
      </c>
      <c r="R58" s="5" t="s">
        <v>94</v>
      </c>
      <c r="S58" s="5" t="s">
        <v>95</v>
      </c>
    </row>
    <row r="59" spans="1:19" x14ac:dyDescent="0.2">
      <c r="A59" s="5">
        <v>2</v>
      </c>
      <c r="B59" s="8" t="s">
        <v>43</v>
      </c>
      <c r="C59" s="7" t="s">
        <v>125</v>
      </c>
      <c r="D59" s="8">
        <v>6.9400000000000003E-2</v>
      </c>
      <c r="E59" s="7">
        <v>9.0069999999999997</v>
      </c>
      <c r="F59" s="7">
        <v>4.4249999999999998</v>
      </c>
      <c r="G59" s="7">
        <v>-17.228999999999999</v>
      </c>
      <c r="H59" s="7">
        <v>12.936999999999999</v>
      </c>
      <c r="I59" s="7">
        <v>1.147</v>
      </c>
      <c r="J59" s="7">
        <v>11.996</v>
      </c>
      <c r="K59" s="10">
        <f t="shared" si="5"/>
        <v>15.213677599999999</v>
      </c>
      <c r="L59" s="11">
        <f t="shared" si="6"/>
        <v>4.3015888488156744</v>
      </c>
      <c r="M59" s="11">
        <f t="shared" si="7"/>
        <v>20.45470410915437</v>
      </c>
      <c r="N59" s="11">
        <f t="shared" si="8"/>
        <v>0.54927215913421235</v>
      </c>
      <c r="O59" s="11">
        <f t="shared" si="9"/>
        <v>5.547676056313553</v>
      </c>
      <c r="P59" s="8">
        <v>13</v>
      </c>
      <c r="Q59" s="8" t="s">
        <v>32</v>
      </c>
      <c r="R59" s="5" t="s">
        <v>94</v>
      </c>
      <c r="S59" s="5" t="s">
        <v>95</v>
      </c>
    </row>
    <row r="60" spans="1:19" x14ac:dyDescent="0.2">
      <c r="A60" s="5">
        <v>2</v>
      </c>
      <c r="B60" s="8" t="s">
        <v>126</v>
      </c>
      <c r="C60" s="7" t="s">
        <v>127</v>
      </c>
      <c r="D60" s="8">
        <v>7.7899999999999997E-2</v>
      </c>
      <c r="E60" s="7">
        <v>9.3059999999999992</v>
      </c>
      <c r="F60" s="7">
        <v>4.7549999999999999</v>
      </c>
      <c r="G60" s="7">
        <v>-18.657</v>
      </c>
      <c r="H60" s="7">
        <v>12.717000000000001</v>
      </c>
      <c r="I60" s="7">
        <v>1.6319999999999999</v>
      </c>
      <c r="J60" s="7">
        <v>12.488</v>
      </c>
      <c r="K60" s="10">
        <f t="shared" si="5"/>
        <v>15.819132799999998</v>
      </c>
      <c r="L60" s="11">
        <f t="shared" si="6"/>
        <v>4.6232576274490693</v>
      </c>
      <c r="M60" s="11">
        <f t="shared" si="7"/>
        <v>20.105663969538316</v>
      </c>
      <c r="N60" s="11">
        <f t="shared" si="8"/>
        <v>0.73409038945202343</v>
      </c>
      <c r="O60" s="11">
        <f t="shared" si="9"/>
        <v>5.0736103965298165</v>
      </c>
      <c r="P60" s="8">
        <v>10</v>
      </c>
      <c r="Q60" s="8" t="s">
        <v>32</v>
      </c>
      <c r="R60" s="5" t="s">
        <v>94</v>
      </c>
      <c r="S60" s="5" t="s">
        <v>95</v>
      </c>
    </row>
    <row r="61" spans="1:19" x14ac:dyDescent="0.2">
      <c r="A61" s="5">
        <v>2</v>
      </c>
      <c r="B61" s="8" t="s">
        <v>128</v>
      </c>
      <c r="C61" s="7" t="s">
        <v>129</v>
      </c>
      <c r="D61" s="8">
        <v>8.2400000000000001E-2</v>
      </c>
      <c r="E61" s="7">
        <v>7.6470000000000002</v>
      </c>
      <c r="F61" s="7">
        <v>9.4169999999999998</v>
      </c>
      <c r="G61" s="7">
        <v>-21.149000000000001</v>
      </c>
      <c r="H61" s="7">
        <v>21.632999999999999</v>
      </c>
      <c r="I61" s="7">
        <v>2.1349999999999998</v>
      </c>
      <c r="J61" s="7">
        <v>11.31</v>
      </c>
      <c r="K61" s="10">
        <f t="shared" si="5"/>
        <v>14.369485999999998</v>
      </c>
      <c r="L61" s="11">
        <f t="shared" si="6"/>
        <v>9.1675601910517592</v>
      </c>
      <c r="M61" s="11">
        <f t="shared" si="7"/>
        <v>34.251308900523561</v>
      </c>
      <c r="N61" s="11">
        <f t="shared" si="8"/>
        <v>0.92576785305998011</v>
      </c>
      <c r="O61" s="11">
        <f t="shared" si="9"/>
        <v>4.3588326175319834</v>
      </c>
      <c r="P61" s="8">
        <v>56</v>
      </c>
      <c r="Q61" s="8" t="s">
        <v>98</v>
      </c>
      <c r="R61" s="5" t="s">
        <v>94</v>
      </c>
      <c r="S61" s="5" t="s">
        <v>95</v>
      </c>
    </row>
    <row r="62" spans="1:19" x14ac:dyDescent="0.2">
      <c r="A62" s="5">
        <v>2</v>
      </c>
      <c r="B62" s="8" t="s">
        <v>130</v>
      </c>
      <c r="C62" s="7" t="s">
        <v>131</v>
      </c>
      <c r="D62" s="8">
        <v>6.9199999999999998E-2</v>
      </c>
      <c r="E62" s="7">
        <v>9.6649999999999991</v>
      </c>
      <c r="F62" s="7">
        <v>7.8029999999999999</v>
      </c>
      <c r="G62" s="7">
        <v>-19.077999999999999</v>
      </c>
      <c r="H62" s="7">
        <v>22.355</v>
      </c>
      <c r="I62" s="7">
        <v>2.7730000000000001</v>
      </c>
      <c r="J62" s="7">
        <v>16.562999999999999</v>
      </c>
      <c r="K62" s="10">
        <f t="shared" si="5"/>
        <v>20.833827799999998</v>
      </c>
      <c r="L62" s="11">
        <f t="shared" si="6"/>
        <v>7.5943074373720636</v>
      </c>
      <c r="M62" s="11">
        <f t="shared" si="7"/>
        <v>35.396795176899893</v>
      </c>
      <c r="N62" s="11">
        <f t="shared" si="8"/>
        <v>1.1688895663440286</v>
      </c>
      <c r="O62" s="11">
        <f t="shared" si="9"/>
        <v>5.4377915801110506</v>
      </c>
      <c r="P62" s="8">
        <v>50</v>
      </c>
      <c r="Q62" s="8" t="s">
        <v>24</v>
      </c>
      <c r="R62" s="5" t="s">
        <v>94</v>
      </c>
      <c r="S62" s="5" t="s">
        <v>95</v>
      </c>
    </row>
    <row r="63" spans="1:19" x14ac:dyDescent="0.2">
      <c r="A63" s="13"/>
      <c r="B63" s="18"/>
      <c r="C63" s="15" t="s">
        <v>38</v>
      </c>
      <c r="D63" s="15">
        <v>0.20780000000000001</v>
      </c>
      <c r="E63" s="15">
        <v>3.72</v>
      </c>
      <c r="F63" s="15">
        <v>8.1189999999999998</v>
      </c>
      <c r="G63" s="15">
        <v>-29.324000000000002</v>
      </c>
      <c r="H63" s="15">
        <v>62.405000000000001</v>
      </c>
      <c r="I63" s="15">
        <v>1.4319999999999999</v>
      </c>
      <c r="J63" s="15">
        <v>5.5190000000000001</v>
      </c>
      <c r="K63" s="16">
        <f t="shared" si="5"/>
        <v>7.2430813999999994</v>
      </c>
      <c r="L63" s="17">
        <f t="shared" si="6"/>
        <v>7.9023296617604046</v>
      </c>
      <c r="M63" s="17">
        <f t="shared" si="7"/>
        <v>98.93796604791369</v>
      </c>
      <c r="N63" s="17">
        <f t="shared" si="8"/>
        <v>0.65787668622818374</v>
      </c>
      <c r="O63" s="17">
        <f t="shared" si="9"/>
        <v>14.606784580812521</v>
      </c>
      <c r="P63" s="18"/>
      <c r="Q63" s="18"/>
      <c r="R63" s="18"/>
      <c r="S63" s="18"/>
    </row>
    <row r="65" spans="1:19" x14ac:dyDescent="0.2">
      <c r="A65" s="4" t="s">
        <v>0</v>
      </c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6</v>
      </c>
      <c r="H65" s="3" t="s">
        <v>5</v>
      </c>
      <c r="I65" s="3" t="s">
        <v>5</v>
      </c>
      <c r="J65" s="3" t="s">
        <v>7</v>
      </c>
      <c r="K65" s="4" t="s">
        <v>8</v>
      </c>
      <c r="L65" s="1" t="s">
        <v>9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  <c r="R65" s="1" t="s">
        <v>15</v>
      </c>
      <c r="S65" s="1" t="s">
        <v>16</v>
      </c>
    </row>
    <row r="66" spans="1:19" x14ac:dyDescent="0.2">
      <c r="A66" s="18"/>
      <c r="B66" s="18"/>
      <c r="C66" s="15" t="s">
        <v>38</v>
      </c>
      <c r="D66" s="15">
        <v>0.1822</v>
      </c>
      <c r="E66" s="15">
        <v>3.9540000000000002</v>
      </c>
      <c r="F66" s="15">
        <v>6.9909999999999997</v>
      </c>
      <c r="G66" s="15">
        <v>-28.981999999999999</v>
      </c>
      <c r="H66" s="15">
        <v>53.360999999999997</v>
      </c>
      <c r="I66" s="15">
        <v>1.0940000000000001</v>
      </c>
      <c r="J66" s="15">
        <v>4.952</v>
      </c>
      <c r="K66" s="16">
        <f>(J66*1.2306)+0.4514</f>
        <v>6.5453311999999997</v>
      </c>
      <c r="L66" s="17">
        <f>(F66+0.1928)/1.0771</f>
        <v>6.6695757125615076</v>
      </c>
      <c r="M66" s="17">
        <f>(H66+1.5229)/0.6745</f>
        <v>81.369755374351371</v>
      </c>
      <c r="N66" s="17">
        <f>(I66+0.2944)/2.6242</f>
        <v>0.52907552777989486</v>
      </c>
      <c r="O66" s="17">
        <f>(M66/12)/(L66/14)</f>
        <v>14.233496306411579</v>
      </c>
      <c r="P66" s="18"/>
      <c r="Q66" s="18"/>
      <c r="R66" s="18"/>
      <c r="S66" s="18"/>
    </row>
    <row r="67" spans="1:19" x14ac:dyDescent="0.2">
      <c r="A67" s="22">
        <v>3</v>
      </c>
      <c r="B67" s="23" t="s">
        <v>17</v>
      </c>
      <c r="C67" s="24" t="s">
        <v>132</v>
      </c>
      <c r="D67" s="23">
        <v>5.74E-2</v>
      </c>
      <c r="E67" s="24">
        <v>8.9710000000000001</v>
      </c>
      <c r="F67" s="24">
        <v>1.0940000000000001</v>
      </c>
      <c r="G67" s="24">
        <v>-17.292999999999999</v>
      </c>
      <c r="H67" s="24">
        <v>3.5819999999999999</v>
      </c>
      <c r="I67" s="24">
        <v>0.34200000000000003</v>
      </c>
      <c r="J67" s="24">
        <v>10.183999999999999</v>
      </c>
      <c r="K67" s="10">
        <f t="shared" ref="K67:K99" si="10">(J67*1.2306)+0.4514</f>
        <v>12.983830399999999</v>
      </c>
      <c r="L67" s="11">
        <f t="shared" ref="L67:L99" si="11">(F67+0.1928)/1.0771</f>
        <v>1.1946894438770777</v>
      </c>
      <c r="M67" s="11">
        <f t="shared" ref="M67:M99" si="12">(H67+1.5229)/0.6745</f>
        <v>7.5684210526315789</v>
      </c>
      <c r="N67" s="11">
        <f t="shared" ref="N67:N99" si="13">(I67+0.2944)/2.6242</f>
        <v>0.24251200365825779</v>
      </c>
      <c r="O67" s="11">
        <f t="shared" ref="O67:O99" si="14">(M67/12)/(L67/14)</f>
        <v>7.3908952712835845</v>
      </c>
      <c r="P67" s="23">
        <v>54</v>
      </c>
      <c r="Q67" s="25" t="s">
        <v>24</v>
      </c>
      <c r="R67" s="22" t="s">
        <v>94</v>
      </c>
      <c r="S67" s="22" t="s">
        <v>95</v>
      </c>
    </row>
    <row r="68" spans="1:19" x14ac:dyDescent="0.2">
      <c r="A68" s="22">
        <v>3</v>
      </c>
      <c r="B68" s="23" t="s">
        <v>22</v>
      </c>
      <c r="C68" s="24" t="s">
        <v>133</v>
      </c>
      <c r="D68" s="23">
        <v>6.1800000000000001E-2</v>
      </c>
      <c r="E68" s="24">
        <v>7.88</v>
      </c>
      <c r="F68" s="24">
        <v>0.93</v>
      </c>
      <c r="G68" s="24">
        <v>-18.3</v>
      </c>
      <c r="H68" s="24">
        <v>3.069</v>
      </c>
      <c r="I68" s="24">
        <v>45.262999999999998</v>
      </c>
      <c r="J68" s="24">
        <v>6.2729999999999997</v>
      </c>
      <c r="K68" s="10">
        <f t="shared" si="10"/>
        <v>8.1709537999999995</v>
      </c>
      <c r="L68" s="11">
        <f t="shared" si="11"/>
        <v>1.0424287438492248</v>
      </c>
      <c r="M68" s="11">
        <f t="shared" si="12"/>
        <v>6.8078576723498889</v>
      </c>
      <c r="N68" s="11">
        <f t="shared" si="13"/>
        <v>17.36049081624876</v>
      </c>
      <c r="O68" s="11">
        <f t="shared" si="14"/>
        <v>7.6192264119784552</v>
      </c>
      <c r="P68" s="23">
        <v>60</v>
      </c>
      <c r="Q68" s="25" t="s">
        <v>98</v>
      </c>
      <c r="R68" s="22" t="s">
        <v>94</v>
      </c>
      <c r="S68" s="22" t="s">
        <v>95</v>
      </c>
    </row>
    <row r="69" spans="1:19" x14ac:dyDescent="0.2">
      <c r="A69" s="22">
        <v>3</v>
      </c>
      <c r="B69" s="23" t="s">
        <v>25</v>
      </c>
      <c r="C69" s="24" t="s">
        <v>134</v>
      </c>
      <c r="D69" s="23">
        <v>4.7600000000000003E-2</v>
      </c>
      <c r="E69" s="24">
        <v>7.6289999999999996</v>
      </c>
      <c r="F69" s="24">
        <v>7.6580000000000004</v>
      </c>
      <c r="G69" s="24">
        <v>-21.600999999999999</v>
      </c>
      <c r="H69" s="24">
        <v>18.026</v>
      </c>
      <c r="I69" s="24">
        <v>1.772</v>
      </c>
      <c r="J69" s="24">
        <v>10.986000000000001</v>
      </c>
      <c r="K69" s="10">
        <f t="shared" si="10"/>
        <v>13.970771599999999</v>
      </c>
      <c r="L69" s="11">
        <f t="shared" si="11"/>
        <v>7.2888311206016159</v>
      </c>
      <c r="M69" s="11">
        <f t="shared" si="12"/>
        <v>28.982802075611563</v>
      </c>
      <c r="N69" s="11">
        <f t="shared" si="13"/>
        <v>0.7874399817087111</v>
      </c>
      <c r="O69" s="11">
        <f t="shared" si="14"/>
        <v>4.639052343062458</v>
      </c>
      <c r="P69" s="23">
        <v>59</v>
      </c>
      <c r="Q69" s="25" t="s">
        <v>98</v>
      </c>
      <c r="R69" s="22" t="s">
        <v>94</v>
      </c>
      <c r="S69" s="22" t="s">
        <v>95</v>
      </c>
    </row>
    <row r="70" spans="1:19" x14ac:dyDescent="0.2">
      <c r="A70" s="22">
        <v>3</v>
      </c>
      <c r="B70" s="23" t="s">
        <v>79</v>
      </c>
      <c r="C70" s="24" t="s">
        <v>135</v>
      </c>
      <c r="D70" s="23">
        <v>4.65E-2</v>
      </c>
      <c r="E70" s="24">
        <v>9.2219999999999995</v>
      </c>
      <c r="F70" s="24">
        <v>5.12</v>
      </c>
      <c r="G70" s="24">
        <v>-16.071000000000002</v>
      </c>
      <c r="H70" s="24">
        <v>11.14</v>
      </c>
      <c r="I70" s="24">
        <v>1.161</v>
      </c>
      <c r="J70" s="24">
        <v>15.423999999999999</v>
      </c>
      <c r="K70" s="10">
        <f t="shared" si="10"/>
        <v>19.432174399999997</v>
      </c>
      <c r="L70" s="11">
        <f t="shared" si="11"/>
        <v>4.9325039457803364</v>
      </c>
      <c r="M70" s="11">
        <f t="shared" si="12"/>
        <v>18.773758339510749</v>
      </c>
      <c r="N70" s="11">
        <f t="shared" si="13"/>
        <v>0.55460711835988108</v>
      </c>
      <c r="O70" s="11">
        <f t="shared" si="14"/>
        <v>4.4404866784749153</v>
      </c>
      <c r="P70" s="23">
        <v>22</v>
      </c>
      <c r="Q70" s="25" t="s">
        <v>136</v>
      </c>
      <c r="R70" s="22" t="s">
        <v>94</v>
      </c>
      <c r="S70" s="22" t="s">
        <v>95</v>
      </c>
    </row>
    <row r="71" spans="1:19" x14ac:dyDescent="0.2">
      <c r="A71" s="22">
        <v>3</v>
      </c>
      <c r="B71" s="23" t="s">
        <v>81</v>
      </c>
      <c r="C71" s="24" t="s">
        <v>137</v>
      </c>
      <c r="D71" s="23">
        <v>5.96E-2</v>
      </c>
      <c r="E71" s="24">
        <v>7.6150000000000002</v>
      </c>
      <c r="F71" s="24">
        <v>1.0629999999999999</v>
      </c>
      <c r="G71" s="24">
        <v>-16.698</v>
      </c>
      <c r="H71" s="24">
        <v>3.6269999999999998</v>
      </c>
      <c r="I71" s="24">
        <v>45.332000000000001</v>
      </c>
      <c r="J71" s="24">
        <v>6.2670000000000003</v>
      </c>
      <c r="K71" s="10">
        <f t="shared" si="10"/>
        <v>8.1635702000000006</v>
      </c>
      <c r="L71" s="11">
        <f t="shared" si="11"/>
        <v>1.1659084578962029</v>
      </c>
      <c r="M71" s="11">
        <f t="shared" si="12"/>
        <v>7.6351371386212001</v>
      </c>
      <c r="N71" s="11">
        <f t="shared" si="13"/>
        <v>17.386784543860987</v>
      </c>
      <c r="O71" s="11">
        <f t="shared" si="14"/>
        <v>7.6401023894545643</v>
      </c>
      <c r="P71" s="23">
        <v>12</v>
      </c>
      <c r="Q71" s="25" t="s">
        <v>32</v>
      </c>
      <c r="R71" s="22" t="s">
        <v>94</v>
      </c>
      <c r="S71" s="22" t="s">
        <v>95</v>
      </c>
    </row>
    <row r="72" spans="1:19" x14ac:dyDescent="0.2">
      <c r="A72" s="22">
        <v>3</v>
      </c>
      <c r="B72" s="23" t="s">
        <v>83</v>
      </c>
      <c r="C72" s="24" t="s">
        <v>138</v>
      </c>
      <c r="D72" s="23">
        <v>4.48E-2</v>
      </c>
      <c r="E72" s="24">
        <v>10.119999999999999</v>
      </c>
      <c r="F72" s="24">
        <v>2.012</v>
      </c>
      <c r="G72" s="24">
        <v>-20.943000000000001</v>
      </c>
      <c r="H72" s="24">
        <v>5.9710000000000001</v>
      </c>
      <c r="I72" s="24">
        <v>0.46899999999999997</v>
      </c>
      <c r="J72" s="24">
        <v>10.952999999999999</v>
      </c>
      <c r="K72" s="10">
        <f t="shared" si="10"/>
        <v>13.930161799999999</v>
      </c>
      <c r="L72" s="11">
        <f t="shared" si="11"/>
        <v>2.0469779964720085</v>
      </c>
      <c r="M72" s="11">
        <f t="shared" si="12"/>
        <v>11.110303928836176</v>
      </c>
      <c r="N72" s="11">
        <f t="shared" si="13"/>
        <v>0.29090770520539588</v>
      </c>
      <c r="O72" s="11">
        <f t="shared" si="14"/>
        <v>6.332271901627216</v>
      </c>
      <c r="P72" s="23">
        <v>3</v>
      </c>
      <c r="Q72" s="25" t="s">
        <v>116</v>
      </c>
      <c r="R72" s="22" t="s">
        <v>94</v>
      </c>
      <c r="S72" s="22" t="s">
        <v>95</v>
      </c>
    </row>
    <row r="73" spans="1:19" x14ac:dyDescent="0.2">
      <c r="A73" s="26"/>
      <c r="B73" s="27"/>
      <c r="C73" s="28" t="s">
        <v>38</v>
      </c>
      <c r="D73" s="28">
        <v>0.1113</v>
      </c>
      <c r="E73" s="28">
        <v>3.7650000000000001</v>
      </c>
      <c r="F73" s="28">
        <v>4.2590000000000003</v>
      </c>
      <c r="G73" s="28">
        <v>-28.954000000000001</v>
      </c>
      <c r="H73" s="28">
        <v>32.993000000000002</v>
      </c>
      <c r="I73" s="28">
        <v>0.65900000000000003</v>
      </c>
      <c r="J73" s="28">
        <v>5.5030000000000001</v>
      </c>
      <c r="K73" s="16">
        <f t="shared" si="10"/>
        <v>7.2233917999999999</v>
      </c>
      <c r="L73" s="17">
        <f t="shared" si="11"/>
        <v>4.1331352706341109</v>
      </c>
      <c r="M73" s="17">
        <f t="shared" si="12"/>
        <v>51.172572275759826</v>
      </c>
      <c r="N73" s="17">
        <f t="shared" si="13"/>
        <v>0.36331072326804359</v>
      </c>
      <c r="O73" s="17">
        <f t="shared" si="14"/>
        <v>14.444563367160335</v>
      </c>
      <c r="P73" s="27"/>
      <c r="Q73" s="29"/>
      <c r="R73" s="26"/>
      <c r="S73" s="26"/>
    </row>
    <row r="74" spans="1:19" x14ac:dyDescent="0.2">
      <c r="A74" s="22">
        <v>3</v>
      </c>
      <c r="B74" s="23" t="s">
        <v>85</v>
      </c>
      <c r="C74" s="24" t="s">
        <v>139</v>
      </c>
      <c r="D74" s="23">
        <v>0.05</v>
      </c>
      <c r="E74" s="24">
        <v>7.8849999999999998</v>
      </c>
      <c r="F74" s="24">
        <v>7.1580000000000004</v>
      </c>
      <c r="G74" s="24">
        <v>-16.366</v>
      </c>
      <c r="H74" s="24">
        <v>18.765999999999998</v>
      </c>
      <c r="I74" s="24">
        <v>2.9319999999999999</v>
      </c>
      <c r="J74" s="24">
        <v>16.89</v>
      </c>
      <c r="K74" s="10">
        <f t="shared" si="10"/>
        <v>21.236234</v>
      </c>
      <c r="L74" s="11">
        <f t="shared" si="11"/>
        <v>6.8246216692971879</v>
      </c>
      <c r="M74" s="11">
        <f t="shared" si="12"/>
        <v>30.07991104521868</v>
      </c>
      <c r="N74" s="11">
        <f t="shared" si="13"/>
        <v>1.2294794604069812</v>
      </c>
      <c r="O74" s="11">
        <f t="shared" si="14"/>
        <v>5.1421501811058032</v>
      </c>
      <c r="P74" s="23">
        <v>19</v>
      </c>
      <c r="Q74" s="25" t="s">
        <v>136</v>
      </c>
      <c r="R74" s="22" t="s">
        <v>94</v>
      </c>
      <c r="S74" s="22" t="s">
        <v>95</v>
      </c>
    </row>
    <row r="75" spans="1:19" x14ac:dyDescent="0.2">
      <c r="A75" s="22">
        <v>3</v>
      </c>
      <c r="B75" s="23" t="s">
        <v>87</v>
      </c>
      <c r="C75" s="24" t="s">
        <v>140</v>
      </c>
      <c r="D75" s="23">
        <v>4.7100000000000003E-2</v>
      </c>
      <c r="E75" s="24">
        <v>6.4630000000000001</v>
      </c>
      <c r="F75" s="24">
        <v>3.6469999999999998</v>
      </c>
      <c r="G75" s="24">
        <v>-16.709</v>
      </c>
      <c r="H75" s="24">
        <v>12.682</v>
      </c>
      <c r="I75" s="24">
        <v>1.3160000000000001</v>
      </c>
      <c r="J75" s="24">
        <v>16.334</v>
      </c>
      <c r="K75" s="10">
        <f t="shared" si="10"/>
        <v>20.552020399999996</v>
      </c>
      <c r="L75" s="11">
        <f t="shared" si="11"/>
        <v>3.5649429022374894</v>
      </c>
      <c r="M75" s="11">
        <f t="shared" si="12"/>
        <v>21.059896219421795</v>
      </c>
      <c r="N75" s="11">
        <f t="shared" si="13"/>
        <v>0.61367273835835678</v>
      </c>
      <c r="O75" s="11">
        <f t="shared" si="14"/>
        <v>6.8920820322922429</v>
      </c>
      <c r="P75" s="23">
        <v>16</v>
      </c>
      <c r="Q75" s="25" t="s">
        <v>136</v>
      </c>
      <c r="R75" s="22" t="s">
        <v>94</v>
      </c>
      <c r="S75" s="22" t="s">
        <v>95</v>
      </c>
    </row>
    <row r="76" spans="1:19" x14ac:dyDescent="0.2">
      <c r="A76" s="22">
        <v>3</v>
      </c>
      <c r="B76" s="23" t="s">
        <v>89</v>
      </c>
      <c r="C76" s="24" t="s">
        <v>141</v>
      </c>
      <c r="D76" s="23">
        <v>4.2299999999999997E-2</v>
      </c>
      <c r="E76" s="24">
        <v>7.7839999999999998</v>
      </c>
      <c r="F76" s="24">
        <v>2.081</v>
      </c>
      <c r="G76" s="24">
        <v>-16.939</v>
      </c>
      <c r="H76" s="24">
        <v>6.7329999999999997</v>
      </c>
      <c r="I76" s="24">
        <v>0.46300000000000002</v>
      </c>
      <c r="J76" s="24">
        <v>10.955</v>
      </c>
      <c r="K76" s="10">
        <f t="shared" si="10"/>
        <v>13.932623</v>
      </c>
      <c r="L76" s="11">
        <f t="shared" si="11"/>
        <v>2.1110389007520194</v>
      </c>
      <c r="M76" s="11">
        <f t="shared" si="12"/>
        <v>12.240029651593774</v>
      </c>
      <c r="N76" s="11">
        <f t="shared" si="13"/>
        <v>0.28862129410868076</v>
      </c>
      <c r="O76" s="11">
        <f t="shared" si="14"/>
        <v>6.7644582903891859</v>
      </c>
      <c r="P76" s="23">
        <v>14</v>
      </c>
      <c r="Q76" s="25" t="s">
        <v>32</v>
      </c>
      <c r="R76" s="22" t="s">
        <v>94</v>
      </c>
      <c r="S76" s="22" t="s">
        <v>95</v>
      </c>
    </row>
    <row r="77" spans="1:19" x14ac:dyDescent="0.2">
      <c r="A77" s="22">
        <v>3</v>
      </c>
      <c r="B77" s="23" t="s">
        <v>91</v>
      </c>
      <c r="C77" s="24" t="s">
        <v>142</v>
      </c>
      <c r="D77" s="23">
        <v>5.6099999999999997E-2</v>
      </c>
      <c r="E77" s="24">
        <v>8.9380000000000006</v>
      </c>
      <c r="F77" s="24">
        <v>2.1789999999999998</v>
      </c>
      <c r="G77" s="24">
        <v>-21.04</v>
      </c>
      <c r="H77" s="24">
        <v>6.7889999999999997</v>
      </c>
      <c r="I77" s="24">
        <v>0.505</v>
      </c>
      <c r="J77" s="24">
        <v>11.972</v>
      </c>
      <c r="K77" s="10">
        <f t="shared" si="10"/>
        <v>15.184143199999998</v>
      </c>
      <c r="L77" s="11">
        <f t="shared" si="11"/>
        <v>2.2020239532076875</v>
      </c>
      <c r="M77" s="11">
        <f t="shared" si="12"/>
        <v>12.323054114158635</v>
      </c>
      <c r="N77" s="11">
        <f t="shared" si="13"/>
        <v>0.30462617178568707</v>
      </c>
      <c r="O77" s="11">
        <f t="shared" si="14"/>
        <v>6.5289464474605676</v>
      </c>
      <c r="P77" s="23">
        <v>6</v>
      </c>
      <c r="Q77" s="25" t="s">
        <v>116</v>
      </c>
      <c r="R77" s="22" t="s">
        <v>94</v>
      </c>
      <c r="S77" s="22" t="s">
        <v>95</v>
      </c>
    </row>
    <row r="78" spans="1:19" x14ac:dyDescent="0.2">
      <c r="A78" s="22">
        <v>3</v>
      </c>
      <c r="B78" s="23" t="s">
        <v>96</v>
      </c>
      <c r="C78" s="24" t="s">
        <v>143</v>
      </c>
      <c r="D78" s="23">
        <v>4.3200000000000002E-2</v>
      </c>
      <c r="E78" s="24">
        <v>8.1180000000000003</v>
      </c>
      <c r="F78" s="24">
        <v>3.823</v>
      </c>
      <c r="G78" s="24">
        <v>-15.78</v>
      </c>
      <c r="H78" s="24">
        <v>9.8849999999999998</v>
      </c>
      <c r="I78" s="24">
        <v>1.3120000000000001</v>
      </c>
      <c r="J78" s="24">
        <v>15.709</v>
      </c>
      <c r="K78" s="10">
        <f t="shared" si="10"/>
        <v>19.782895399999997</v>
      </c>
      <c r="L78" s="11">
        <f t="shared" si="11"/>
        <v>3.7283446290966484</v>
      </c>
      <c r="M78" s="11">
        <f t="shared" si="12"/>
        <v>16.913120830244626</v>
      </c>
      <c r="N78" s="11">
        <f t="shared" si="13"/>
        <v>0.61214846429388003</v>
      </c>
      <c r="O78" s="11">
        <f t="shared" si="14"/>
        <v>5.2924223120256411</v>
      </c>
      <c r="P78" s="23">
        <v>20</v>
      </c>
      <c r="Q78" s="25" t="s">
        <v>136</v>
      </c>
      <c r="R78" s="22" t="s">
        <v>94</v>
      </c>
      <c r="S78" s="22" t="s">
        <v>95</v>
      </c>
    </row>
    <row r="79" spans="1:19" x14ac:dyDescent="0.2">
      <c r="A79" s="22">
        <v>3</v>
      </c>
      <c r="B79" s="23" t="s">
        <v>99</v>
      </c>
      <c r="C79" s="24" t="s">
        <v>144</v>
      </c>
      <c r="D79" s="23">
        <v>4.0599999999999997E-2</v>
      </c>
      <c r="E79" s="24">
        <v>10.122999999999999</v>
      </c>
      <c r="F79" s="24">
        <v>2.536</v>
      </c>
      <c r="G79" s="24">
        <v>-20.658000000000001</v>
      </c>
      <c r="H79" s="24">
        <v>7.9649999999999999</v>
      </c>
      <c r="I79" s="24">
        <v>0.56200000000000006</v>
      </c>
      <c r="J79" s="24">
        <v>12.157</v>
      </c>
      <c r="K79" s="10">
        <f t="shared" si="10"/>
        <v>15.411804199999999</v>
      </c>
      <c r="L79" s="11">
        <f t="shared" si="11"/>
        <v>2.5334695014390496</v>
      </c>
      <c r="M79" s="11">
        <f t="shared" si="12"/>
        <v>14.066567828020757</v>
      </c>
      <c r="N79" s="11">
        <f t="shared" si="13"/>
        <v>0.32634707720448136</v>
      </c>
      <c r="O79" s="11">
        <f t="shared" si="14"/>
        <v>6.4776764788507819</v>
      </c>
      <c r="P79" s="23">
        <v>2</v>
      </c>
      <c r="Q79" s="25" t="s">
        <v>116</v>
      </c>
      <c r="R79" s="22" t="s">
        <v>94</v>
      </c>
      <c r="S79" s="22" t="s">
        <v>95</v>
      </c>
    </row>
    <row r="80" spans="1:19" x14ac:dyDescent="0.2">
      <c r="A80" s="26"/>
      <c r="B80" s="27"/>
      <c r="C80" s="28" t="s">
        <v>38</v>
      </c>
      <c r="D80" s="28">
        <v>0.16719999999999999</v>
      </c>
      <c r="E80" s="28">
        <v>3.7349999999999999</v>
      </c>
      <c r="F80" s="28">
        <v>5.22</v>
      </c>
      <c r="G80" s="28">
        <v>-28.97</v>
      </c>
      <c r="H80" s="28">
        <v>41.088000000000001</v>
      </c>
      <c r="I80" s="28">
        <v>0.879</v>
      </c>
      <c r="J80" s="28">
        <v>5.4850000000000003</v>
      </c>
      <c r="K80" s="16">
        <f t="shared" si="10"/>
        <v>7.2012409999999996</v>
      </c>
      <c r="L80" s="17">
        <f t="shared" si="11"/>
        <v>5.0253458360412218</v>
      </c>
      <c r="M80" s="17">
        <f t="shared" si="12"/>
        <v>63.174054855448482</v>
      </c>
      <c r="N80" s="17">
        <f t="shared" si="13"/>
        <v>0.44714579681426719</v>
      </c>
      <c r="O80" s="17">
        <f t="shared" si="14"/>
        <v>14.666267039659846</v>
      </c>
      <c r="P80" s="27"/>
      <c r="Q80" s="29"/>
      <c r="R80" s="26"/>
      <c r="S80" s="26"/>
    </row>
    <row r="81" spans="1:19" x14ac:dyDescent="0.2">
      <c r="A81" s="22">
        <v>3</v>
      </c>
      <c r="B81" s="23" t="s">
        <v>30</v>
      </c>
      <c r="C81" s="24" t="s">
        <v>145</v>
      </c>
      <c r="D81" s="23">
        <v>4.58E-2</v>
      </c>
      <c r="E81" s="24">
        <v>9.3930000000000007</v>
      </c>
      <c r="F81" s="24">
        <v>2.8809999999999998</v>
      </c>
      <c r="G81" s="24">
        <v>-20.042000000000002</v>
      </c>
      <c r="H81" s="24">
        <v>8.1329999999999991</v>
      </c>
      <c r="I81" s="24">
        <v>0.66700000000000004</v>
      </c>
      <c r="J81" s="24">
        <v>11.808</v>
      </c>
      <c r="K81" s="10">
        <f t="shared" si="10"/>
        <v>14.982324799999999</v>
      </c>
      <c r="L81" s="11">
        <f t="shared" si="11"/>
        <v>2.8537740228391049</v>
      </c>
      <c r="M81" s="11">
        <f t="shared" si="12"/>
        <v>14.315641215715344</v>
      </c>
      <c r="N81" s="11">
        <f t="shared" si="13"/>
        <v>0.3663592713969972</v>
      </c>
      <c r="O81" s="11">
        <f t="shared" si="14"/>
        <v>5.8524540782380647</v>
      </c>
      <c r="P81" s="23">
        <v>1</v>
      </c>
      <c r="Q81" s="25" t="s">
        <v>116</v>
      </c>
      <c r="R81" s="22" t="s">
        <v>94</v>
      </c>
      <c r="S81" s="22" t="s">
        <v>95</v>
      </c>
    </row>
    <row r="82" spans="1:19" x14ac:dyDescent="0.2">
      <c r="A82" s="22">
        <v>3</v>
      </c>
      <c r="B82" s="23" t="s">
        <v>33</v>
      </c>
      <c r="C82" s="24" t="s">
        <v>146</v>
      </c>
      <c r="D82" s="23">
        <v>4.4999999999999998E-2</v>
      </c>
      <c r="E82" s="24">
        <v>9.1180000000000003</v>
      </c>
      <c r="F82" s="24">
        <v>3.7040000000000002</v>
      </c>
      <c r="G82" s="24">
        <v>-19.379000000000001</v>
      </c>
      <c r="H82" s="24">
        <v>10.71</v>
      </c>
      <c r="I82" s="24">
        <v>0.95199999999999996</v>
      </c>
      <c r="J82" s="24">
        <v>12.266999999999999</v>
      </c>
      <c r="K82" s="10">
        <f t="shared" si="10"/>
        <v>15.547170199999998</v>
      </c>
      <c r="L82" s="11">
        <f t="shared" si="11"/>
        <v>3.6178627796861949</v>
      </c>
      <c r="M82" s="11">
        <f t="shared" si="12"/>
        <v>18.136249073387695</v>
      </c>
      <c r="N82" s="11">
        <f t="shared" si="13"/>
        <v>0.47496379849096865</v>
      </c>
      <c r="O82" s="11">
        <f t="shared" si="14"/>
        <v>5.8484687067431906</v>
      </c>
      <c r="P82" s="23">
        <v>11</v>
      </c>
      <c r="Q82" s="25" t="s">
        <v>32</v>
      </c>
      <c r="R82" s="22" t="s">
        <v>94</v>
      </c>
      <c r="S82" s="22" t="s">
        <v>95</v>
      </c>
    </row>
    <row r="83" spans="1:19" x14ac:dyDescent="0.2">
      <c r="A83" s="22">
        <v>3</v>
      </c>
      <c r="B83" s="23" t="s">
        <v>35</v>
      </c>
      <c r="C83" s="24" t="s">
        <v>147</v>
      </c>
      <c r="D83" s="23">
        <v>4.1599999999999998E-2</v>
      </c>
      <c r="E83" s="24">
        <v>8.3369999999999997</v>
      </c>
      <c r="F83" s="24">
        <v>3.552</v>
      </c>
      <c r="G83" s="24">
        <v>-15.945</v>
      </c>
      <c r="H83" s="24">
        <v>9.4870000000000001</v>
      </c>
      <c r="I83" s="24">
        <v>1.2909999999999999</v>
      </c>
      <c r="J83" s="24">
        <v>15.946</v>
      </c>
      <c r="K83" s="10">
        <f t="shared" si="10"/>
        <v>20.074547599999999</v>
      </c>
      <c r="L83" s="11">
        <f t="shared" si="11"/>
        <v>3.4767431064896486</v>
      </c>
      <c r="M83" s="11">
        <f t="shared" si="12"/>
        <v>16.323054114158637</v>
      </c>
      <c r="N83" s="11">
        <f t="shared" si="13"/>
        <v>0.60414602545537688</v>
      </c>
      <c r="O83" s="11">
        <f t="shared" si="14"/>
        <v>5.4774145083191739</v>
      </c>
      <c r="P83" s="23">
        <v>18</v>
      </c>
      <c r="Q83" s="25" t="s">
        <v>136</v>
      </c>
      <c r="R83" s="22" t="s">
        <v>94</v>
      </c>
      <c r="S83" s="22" t="s">
        <v>95</v>
      </c>
    </row>
    <row r="84" spans="1:19" x14ac:dyDescent="0.2">
      <c r="A84" s="22">
        <v>3</v>
      </c>
      <c r="B84" s="23" t="s">
        <v>104</v>
      </c>
      <c r="C84" s="24" t="s">
        <v>148</v>
      </c>
      <c r="D84" s="23">
        <v>4.48E-2</v>
      </c>
      <c r="E84" s="24">
        <v>8.3409999999999993</v>
      </c>
      <c r="F84" s="24">
        <v>4.117</v>
      </c>
      <c r="G84" s="24">
        <v>-17.725999999999999</v>
      </c>
      <c r="H84" s="24">
        <v>12.153</v>
      </c>
      <c r="I84" s="24">
        <v>1.139</v>
      </c>
      <c r="J84" s="24">
        <v>14.798</v>
      </c>
      <c r="K84" s="10">
        <f t="shared" si="10"/>
        <v>18.661818799999999</v>
      </c>
      <c r="L84" s="11">
        <f t="shared" si="11"/>
        <v>4.0012997864636528</v>
      </c>
      <c r="M84" s="11">
        <f t="shared" si="12"/>
        <v>20.275611564121572</v>
      </c>
      <c r="N84" s="11">
        <f t="shared" si="13"/>
        <v>0.54622361100525874</v>
      </c>
      <c r="O84" s="11">
        <f t="shared" si="14"/>
        <v>5.9117990204498048</v>
      </c>
      <c r="P84" s="23">
        <v>21</v>
      </c>
      <c r="Q84" s="25" t="s">
        <v>136</v>
      </c>
      <c r="R84" s="22" t="s">
        <v>94</v>
      </c>
      <c r="S84" s="22" t="s">
        <v>95</v>
      </c>
    </row>
    <row r="85" spans="1:19" x14ac:dyDescent="0.2">
      <c r="A85" s="22">
        <v>3</v>
      </c>
      <c r="B85" s="23" t="s">
        <v>106</v>
      </c>
      <c r="C85" s="24" t="s">
        <v>149</v>
      </c>
      <c r="D85" s="23">
        <v>4.41E-2</v>
      </c>
      <c r="E85" s="24">
        <v>8.2050000000000001</v>
      </c>
      <c r="F85" s="24">
        <v>2.2610000000000001</v>
      </c>
      <c r="G85" s="24">
        <v>-17.041</v>
      </c>
      <c r="H85" s="24">
        <v>6.4829999999999997</v>
      </c>
      <c r="I85" s="24">
        <v>0.93700000000000006</v>
      </c>
      <c r="J85" s="24">
        <v>15.396000000000001</v>
      </c>
      <c r="K85" s="10">
        <f t="shared" si="10"/>
        <v>19.3977176</v>
      </c>
      <c r="L85" s="11">
        <f t="shared" si="11"/>
        <v>2.2781543032216138</v>
      </c>
      <c r="M85" s="11">
        <f t="shared" si="12"/>
        <v>11.869384729429207</v>
      </c>
      <c r="N85" s="11">
        <f t="shared" si="13"/>
        <v>0.46924777074918073</v>
      </c>
      <c r="O85" s="11">
        <f t="shared" si="14"/>
        <v>6.0784361700544309</v>
      </c>
      <c r="P85" s="23">
        <v>87</v>
      </c>
      <c r="Q85" s="25" t="s">
        <v>32</v>
      </c>
      <c r="R85" s="22" t="s">
        <v>20</v>
      </c>
      <c r="S85" s="22" t="s">
        <v>37</v>
      </c>
    </row>
    <row r="86" spans="1:19" x14ac:dyDescent="0.2">
      <c r="A86" s="22">
        <v>3</v>
      </c>
      <c r="B86" s="23" t="s">
        <v>108</v>
      </c>
      <c r="C86" s="24" t="s">
        <v>150</v>
      </c>
      <c r="D86" s="23">
        <v>4.5199999999999997E-2</v>
      </c>
      <c r="E86" s="24">
        <v>10.629</v>
      </c>
      <c r="F86" s="24">
        <v>7.3440000000000003</v>
      </c>
      <c r="G86" s="24">
        <v>-19.356999999999999</v>
      </c>
      <c r="H86" s="24">
        <v>20.503</v>
      </c>
      <c r="I86" s="24">
        <v>2.3359999999999999</v>
      </c>
      <c r="J86" s="24">
        <v>15.797000000000001</v>
      </c>
      <c r="K86" s="10">
        <f t="shared" si="10"/>
        <v>19.891188199999998</v>
      </c>
      <c r="L86" s="11">
        <f t="shared" si="11"/>
        <v>6.9973075851824351</v>
      </c>
      <c r="M86" s="11">
        <f t="shared" si="12"/>
        <v>32.655151964418089</v>
      </c>
      <c r="N86" s="11">
        <f t="shared" si="13"/>
        <v>1.0023626247999389</v>
      </c>
      <c r="O86" s="11">
        <f t="shared" si="14"/>
        <v>5.444619495146549</v>
      </c>
      <c r="P86" s="23">
        <v>51</v>
      </c>
      <c r="Q86" s="25" t="s">
        <v>24</v>
      </c>
      <c r="R86" s="22" t="s">
        <v>94</v>
      </c>
      <c r="S86" s="22" t="s">
        <v>95</v>
      </c>
    </row>
    <row r="87" spans="1:19" x14ac:dyDescent="0.2">
      <c r="A87" s="26"/>
      <c r="B87" s="27"/>
      <c r="C87" s="28" t="s">
        <v>38</v>
      </c>
      <c r="D87" s="28">
        <v>0.20430000000000001</v>
      </c>
      <c r="E87" s="28">
        <v>3.8809999999999998</v>
      </c>
      <c r="F87" s="28">
        <v>7.7880000000000003</v>
      </c>
      <c r="G87" s="28">
        <v>-29.047000000000001</v>
      </c>
      <c r="H87" s="28">
        <v>59.908999999999999</v>
      </c>
      <c r="I87" s="28">
        <v>1.421</v>
      </c>
      <c r="J87" s="28">
        <v>5.6520000000000001</v>
      </c>
      <c r="K87" s="16">
        <f t="shared" si="10"/>
        <v>7.4067512000000004</v>
      </c>
      <c r="L87" s="17">
        <f t="shared" si="11"/>
        <v>7.4095255779407676</v>
      </c>
      <c r="M87" s="17">
        <f t="shared" si="12"/>
        <v>91.077687175685696</v>
      </c>
      <c r="N87" s="17">
        <f t="shared" si="13"/>
        <v>0.65368493255087268</v>
      </c>
      <c r="O87" s="17">
        <f t="shared" si="14"/>
        <v>14.340634982259868</v>
      </c>
      <c r="P87" s="27"/>
      <c r="Q87" s="29"/>
      <c r="R87" s="26"/>
      <c r="S87" s="26"/>
    </row>
    <row r="88" spans="1:19" x14ac:dyDescent="0.2">
      <c r="A88" s="22">
        <v>3</v>
      </c>
      <c r="B88" s="23" t="s">
        <v>110</v>
      </c>
      <c r="C88" s="24" t="s">
        <v>151</v>
      </c>
      <c r="D88" s="23">
        <v>5.6399999999999999E-2</v>
      </c>
      <c r="E88" s="24">
        <v>8.2859999999999996</v>
      </c>
      <c r="F88" s="24">
        <v>3.2490000000000001</v>
      </c>
      <c r="G88" s="24">
        <v>-13.128</v>
      </c>
      <c r="H88" s="24">
        <v>9.9700000000000006</v>
      </c>
      <c r="I88" s="24">
        <v>1.139</v>
      </c>
      <c r="J88" s="24">
        <v>14.712</v>
      </c>
      <c r="K88" s="10">
        <f t="shared" si="10"/>
        <v>18.555987199999997</v>
      </c>
      <c r="L88" s="11">
        <f t="shared" si="11"/>
        <v>3.1954321789991647</v>
      </c>
      <c r="M88" s="11">
        <f t="shared" si="12"/>
        <v>17.039140103780579</v>
      </c>
      <c r="N88" s="11">
        <f t="shared" si="13"/>
        <v>0.54622361100525874</v>
      </c>
      <c r="O88" s="11">
        <f t="shared" si="14"/>
        <v>6.221066720924826</v>
      </c>
      <c r="P88" s="23">
        <v>76</v>
      </c>
      <c r="Q88" s="25" t="s">
        <v>24</v>
      </c>
      <c r="R88" s="22" t="s">
        <v>20</v>
      </c>
      <c r="S88" s="22" t="s">
        <v>29</v>
      </c>
    </row>
    <row r="89" spans="1:19" x14ac:dyDescent="0.2">
      <c r="A89" s="22">
        <v>3</v>
      </c>
      <c r="B89" s="23" t="s">
        <v>112</v>
      </c>
      <c r="C89" s="24" t="s">
        <v>152</v>
      </c>
      <c r="D89" s="23">
        <v>6.7699999999999996E-2</v>
      </c>
      <c r="E89" s="24">
        <v>9.43</v>
      </c>
      <c r="F89" s="24">
        <v>4.8390000000000004</v>
      </c>
      <c r="G89" s="24">
        <v>-19.84</v>
      </c>
      <c r="H89" s="24">
        <v>13.545</v>
      </c>
      <c r="I89" s="24">
        <v>1.0780000000000001</v>
      </c>
      <c r="J89" s="24">
        <v>13.202999999999999</v>
      </c>
      <c r="K89" s="10">
        <f t="shared" si="10"/>
        <v>16.699011799999997</v>
      </c>
      <c r="L89" s="11">
        <f t="shared" si="11"/>
        <v>4.6716182341472479</v>
      </c>
      <c r="M89" s="11">
        <f t="shared" si="12"/>
        <v>22.339362490733876</v>
      </c>
      <c r="N89" s="11">
        <f t="shared" si="13"/>
        <v>0.52297843152198764</v>
      </c>
      <c r="O89" s="11">
        <f t="shared" si="14"/>
        <v>5.578921107469367</v>
      </c>
      <c r="P89" s="23">
        <v>5</v>
      </c>
      <c r="Q89" s="25" t="s">
        <v>116</v>
      </c>
      <c r="R89" s="22" t="s">
        <v>94</v>
      </c>
      <c r="S89" s="22" t="s">
        <v>95</v>
      </c>
    </row>
    <row r="90" spans="1:19" x14ac:dyDescent="0.2">
      <c r="A90" s="22">
        <v>3</v>
      </c>
      <c r="B90" s="23" t="s">
        <v>114</v>
      </c>
      <c r="C90" s="24" t="s">
        <v>153</v>
      </c>
      <c r="D90" s="23">
        <v>5.3800000000000001E-2</v>
      </c>
      <c r="E90" s="24">
        <v>8.4239999999999995</v>
      </c>
      <c r="F90" s="24">
        <v>2.3929999999999998</v>
      </c>
      <c r="G90" s="24">
        <v>-17.27</v>
      </c>
      <c r="H90" s="24">
        <v>7.1829999999999998</v>
      </c>
      <c r="I90" s="24">
        <v>0.68700000000000006</v>
      </c>
      <c r="J90" s="24">
        <v>13.089</v>
      </c>
      <c r="K90" s="10">
        <f t="shared" si="10"/>
        <v>16.558723399999998</v>
      </c>
      <c r="L90" s="11">
        <f t="shared" si="11"/>
        <v>2.4007055983659829</v>
      </c>
      <c r="M90" s="11">
        <f t="shared" si="12"/>
        <v>12.907190511489992</v>
      </c>
      <c r="N90" s="11">
        <f t="shared" si="13"/>
        <v>0.37398064171938117</v>
      </c>
      <c r="O90" s="11">
        <f t="shared" si="14"/>
        <v>6.272484614657043</v>
      </c>
      <c r="P90" s="23">
        <v>15</v>
      </c>
      <c r="Q90" s="25" t="s">
        <v>32</v>
      </c>
      <c r="R90" s="22" t="s">
        <v>94</v>
      </c>
      <c r="S90" s="22" t="s">
        <v>95</v>
      </c>
    </row>
    <row r="91" spans="1:19" x14ac:dyDescent="0.2">
      <c r="A91" s="22">
        <v>3</v>
      </c>
      <c r="B91" s="23" t="s">
        <v>117</v>
      </c>
      <c r="C91" s="7" t="s">
        <v>154</v>
      </c>
      <c r="D91" s="8">
        <v>5.0599999999999999E-2</v>
      </c>
      <c r="E91" s="7">
        <v>8.8710000000000004</v>
      </c>
      <c r="F91" s="7">
        <v>6.306</v>
      </c>
      <c r="G91" s="7">
        <v>-20.134</v>
      </c>
      <c r="H91" s="7">
        <v>15.867000000000001</v>
      </c>
      <c r="I91" s="7">
        <v>1.6379999999999999</v>
      </c>
      <c r="J91" s="7">
        <v>12.673999999999999</v>
      </c>
      <c r="K91" s="10">
        <f t="shared" si="10"/>
        <v>16.048024399999999</v>
      </c>
      <c r="L91" s="11">
        <f t="shared" si="11"/>
        <v>6.0336087642744411</v>
      </c>
      <c r="M91" s="11">
        <f t="shared" si="12"/>
        <v>25.781912527798372</v>
      </c>
      <c r="N91" s="11">
        <f t="shared" si="13"/>
        <v>0.73637680054873855</v>
      </c>
      <c r="O91" s="11">
        <f t="shared" si="14"/>
        <v>4.9852251155557274</v>
      </c>
      <c r="P91" s="23">
        <v>41</v>
      </c>
      <c r="Q91" s="25" t="s">
        <v>93</v>
      </c>
      <c r="R91" s="22" t="s">
        <v>94</v>
      </c>
      <c r="S91" s="22" t="s">
        <v>95</v>
      </c>
    </row>
    <row r="92" spans="1:19" x14ac:dyDescent="0.2">
      <c r="A92" s="22">
        <v>3</v>
      </c>
      <c r="B92" s="23" t="s">
        <v>119</v>
      </c>
      <c r="C92" s="7" t="s">
        <v>155</v>
      </c>
      <c r="D92" s="8">
        <v>4.5900000000000003E-2</v>
      </c>
      <c r="E92" s="7">
        <v>7.8150000000000004</v>
      </c>
      <c r="F92" s="7">
        <v>4.7350000000000003</v>
      </c>
      <c r="G92" s="7">
        <v>-17.009</v>
      </c>
      <c r="H92" s="7">
        <v>22.286999999999999</v>
      </c>
      <c r="I92" s="7">
        <v>1.6080000000000001</v>
      </c>
      <c r="J92" s="7">
        <v>15.632</v>
      </c>
      <c r="K92" s="10">
        <f t="shared" si="10"/>
        <v>19.688139199999998</v>
      </c>
      <c r="L92" s="11">
        <f t="shared" si="11"/>
        <v>4.575062668275927</v>
      </c>
      <c r="M92" s="11">
        <f t="shared" si="12"/>
        <v>35.300074128984434</v>
      </c>
      <c r="N92" s="11">
        <f t="shared" si="13"/>
        <v>0.72494474506516271</v>
      </c>
      <c r="O92" s="11">
        <f t="shared" si="14"/>
        <v>9.0017170918159533</v>
      </c>
      <c r="P92" s="23">
        <v>64</v>
      </c>
      <c r="Q92" s="25" t="s">
        <v>136</v>
      </c>
      <c r="R92" s="22" t="s">
        <v>20</v>
      </c>
      <c r="S92" s="22" t="s">
        <v>37</v>
      </c>
    </row>
    <row r="93" spans="1:19" x14ac:dyDescent="0.2">
      <c r="A93" s="22">
        <v>3</v>
      </c>
      <c r="B93" s="23" t="s">
        <v>121</v>
      </c>
      <c r="C93" s="7" t="s">
        <v>156</v>
      </c>
      <c r="D93" s="8">
        <v>4.8899999999999999E-2</v>
      </c>
      <c r="E93" s="7">
        <v>8.2799999999999994</v>
      </c>
      <c r="F93" s="7">
        <v>4.37</v>
      </c>
      <c r="G93" s="7">
        <v>-21.785</v>
      </c>
      <c r="H93" s="7">
        <v>13.606</v>
      </c>
      <c r="I93" s="7">
        <v>1.335</v>
      </c>
      <c r="J93" s="7">
        <v>13.823</v>
      </c>
      <c r="K93" s="10">
        <f t="shared" si="10"/>
        <v>17.461983799999999</v>
      </c>
      <c r="L93" s="11">
        <f t="shared" si="11"/>
        <v>4.236189768823694</v>
      </c>
      <c r="M93" s="11">
        <f t="shared" si="12"/>
        <v>22.429799851742033</v>
      </c>
      <c r="N93" s="11">
        <f t="shared" si="13"/>
        <v>0.62091304016462157</v>
      </c>
      <c r="O93" s="11">
        <f t="shared" si="14"/>
        <v>6.1772727982152542</v>
      </c>
      <c r="P93" s="23">
        <v>39</v>
      </c>
      <c r="Q93" s="25" t="s">
        <v>93</v>
      </c>
      <c r="R93" s="22" t="s">
        <v>94</v>
      </c>
      <c r="S93" s="22" t="s">
        <v>95</v>
      </c>
    </row>
    <row r="94" spans="1:19" x14ac:dyDescent="0.2">
      <c r="A94" s="26"/>
      <c r="B94" s="18"/>
      <c r="C94" s="15" t="s">
        <v>38</v>
      </c>
      <c r="D94" s="15">
        <v>0.18540000000000001</v>
      </c>
      <c r="E94" s="15">
        <v>3.629</v>
      </c>
      <c r="F94" s="15">
        <v>6.7530000000000001</v>
      </c>
      <c r="G94" s="15">
        <v>-29.209</v>
      </c>
      <c r="H94" s="15">
        <v>54.472000000000001</v>
      </c>
      <c r="I94" s="15">
        <v>1.2490000000000001</v>
      </c>
      <c r="J94" s="15">
        <v>5.6619999999999999</v>
      </c>
      <c r="K94" s="16">
        <f t="shared" si="10"/>
        <v>7.4190571999999992</v>
      </c>
      <c r="L94" s="17">
        <f t="shared" si="11"/>
        <v>6.4486120137406004</v>
      </c>
      <c r="M94" s="17">
        <f t="shared" si="12"/>
        <v>83.016901408450707</v>
      </c>
      <c r="N94" s="17">
        <f t="shared" si="13"/>
        <v>0.58814114777837057</v>
      </c>
      <c r="O94" s="17">
        <f t="shared" si="14"/>
        <v>15.019209007584818</v>
      </c>
      <c r="P94" s="27"/>
      <c r="Q94" s="29"/>
      <c r="R94" s="26"/>
      <c r="S94" s="26"/>
    </row>
    <row r="95" spans="1:19" x14ac:dyDescent="0.2">
      <c r="A95" s="22">
        <v>3</v>
      </c>
      <c r="B95" s="8" t="s">
        <v>39</v>
      </c>
      <c r="C95" s="7" t="s">
        <v>157</v>
      </c>
      <c r="D95" s="8">
        <v>4.2500000000000003E-2</v>
      </c>
      <c r="E95" s="7">
        <v>7.84</v>
      </c>
      <c r="F95" s="7">
        <v>4.266</v>
      </c>
      <c r="G95" s="7">
        <v>-21.547000000000001</v>
      </c>
      <c r="H95" s="7">
        <v>11.404999999999999</v>
      </c>
      <c r="I95" s="7">
        <v>1.1140000000000001</v>
      </c>
      <c r="J95" s="7">
        <v>13.464</v>
      </c>
      <c r="K95" s="10">
        <f t="shared" si="10"/>
        <v>17.020198399999998</v>
      </c>
      <c r="L95" s="11">
        <f t="shared" si="11"/>
        <v>4.1396342029523723</v>
      </c>
      <c r="M95" s="11">
        <f t="shared" si="12"/>
        <v>19.16664195700519</v>
      </c>
      <c r="N95" s="11">
        <f t="shared" si="13"/>
        <v>0.53669689810227883</v>
      </c>
      <c r="O95" s="11">
        <f t="shared" si="14"/>
        <v>5.4017048818528162</v>
      </c>
      <c r="P95" s="23">
        <v>40</v>
      </c>
      <c r="Q95" s="25" t="s">
        <v>93</v>
      </c>
      <c r="R95" s="22" t="s">
        <v>94</v>
      </c>
      <c r="S95" s="22" t="s">
        <v>95</v>
      </c>
    </row>
    <row r="96" spans="1:19" x14ac:dyDescent="0.2">
      <c r="A96" s="22">
        <v>3</v>
      </c>
      <c r="B96" s="8" t="s">
        <v>41</v>
      </c>
      <c r="C96" s="7" t="s">
        <v>158</v>
      </c>
      <c r="D96" s="8">
        <v>5.6899999999999999E-2</v>
      </c>
      <c r="E96" s="7">
        <v>8.2650000000000006</v>
      </c>
      <c r="F96" s="7">
        <v>3.2650000000000001</v>
      </c>
      <c r="G96" s="7">
        <v>-21.553000000000001</v>
      </c>
      <c r="H96" s="7">
        <v>9.4979999999999993</v>
      </c>
      <c r="I96" s="7">
        <v>1.258</v>
      </c>
      <c r="J96" s="7">
        <v>14.352</v>
      </c>
      <c r="K96" s="10">
        <f t="shared" si="10"/>
        <v>18.1129712</v>
      </c>
      <c r="L96" s="11">
        <f t="shared" si="11"/>
        <v>3.2102868814409065</v>
      </c>
      <c r="M96" s="11">
        <f t="shared" si="12"/>
        <v>16.339362490733876</v>
      </c>
      <c r="N96" s="11">
        <f t="shared" si="13"/>
        <v>0.59157076442344336</v>
      </c>
      <c r="O96" s="11">
        <f t="shared" si="14"/>
        <v>5.9379707410967564</v>
      </c>
      <c r="P96" s="23">
        <v>38</v>
      </c>
      <c r="Q96" s="25" t="s">
        <v>93</v>
      </c>
      <c r="R96" s="22" t="s">
        <v>94</v>
      </c>
      <c r="S96" s="22" t="s">
        <v>95</v>
      </c>
    </row>
    <row r="97" spans="1:19" x14ac:dyDescent="0.2">
      <c r="A97" s="22">
        <v>3</v>
      </c>
      <c r="B97" s="8" t="s">
        <v>43</v>
      </c>
      <c r="C97" s="7" t="s">
        <v>159</v>
      </c>
      <c r="D97" s="8">
        <v>5.9900000000000002E-2</v>
      </c>
      <c r="E97" s="7">
        <v>6.548</v>
      </c>
      <c r="F97" s="7">
        <v>3.589</v>
      </c>
      <c r="G97" s="7">
        <v>-15.994</v>
      </c>
      <c r="H97" s="7">
        <v>14.042999999999999</v>
      </c>
      <c r="I97" s="7">
        <v>0.96899999999999997</v>
      </c>
      <c r="J97" s="7">
        <v>15.291</v>
      </c>
      <c r="K97" s="10">
        <f t="shared" si="10"/>
        <v>19.2685046</v>
      </c>
      <c r="L97" s="11">
        <f t="shared" si="11"/>
        <v>3.5110946058861763</v>
      </c>
      <c r="M97" s="11">
        <f t="shared" si="12"/>
        <v>23.077687175685693</v>
      </c>
      <c r="N97" s="11">
        <f t="shared" si="13"/>
        <v>0.481441963264995</v>
      </c>
      <c r="O97" s="11">
        <f t="shared" si="14"/>
        <v>7.668254887378029</v>
      </c>
      <c r="P97" s="23">
        <v>17</v>
      </c>
      <c r="Q97" s="25" t="s">
        <v>136</v>
      </c>
      <c r="R97" s="22" t="s">
        <v>94</v>
      </c>
      <c r="S97" s="22" t="s">
        <v>95</v>
      </c>
    </row>
    <row r="98" spans="1:19" x14ac:dyDescent="0.2">
      <c r="A98" s="22">
        <v>3</v>
      </c>
      <c r="B98" s="8" t="s">
        <v>126</v>
      </c>
      <c r="C98" s="7" t="s">
        <v>160</v>
      </c>
      <c r="D98" s="8">
        <v>0.14080000000000001</v>
      </c>
      <c r="E98" s="7">
        <v>8.1270000000000007</v>
      </c>
      <c r="F98" s="7">
        <v>3.6890000000000001</v>
      </c>
      <c r="G98" s="7">
        <v>-20.82</v>
      </c>
      <c r="H98" s="7">
        <v>8.7870000000000008</v>
      </c>
      <c r="I98" s="7">
        <v>0.96199999999999997</v>
      </c>
      <c r="J98" s="7">
        <v>13.683</v>
      </c>
      <c r="K98" s="10">
        <f t="shared" si="10"/>
        <v>17.289699799999998</v>
      </c>
      <c r="L98" s="11">
        <f t="shared" si="11"/>
        <v>3.6039364961470617</v>
      </c>
      <c r="M98" s="11">
        <f t="shared" si="12"/>
        <v>15.285248332097851</v>
      </c>
      <c r="N98" s="11">
        <f t="shared" si="13"/>
        <v>0.47877448365216063</v>
      </c>
      <c r="O98" s="11">
        <f t="shared" si="14"/>
        <v>4.9481420496298174</v>
      </c>
      <c r="P98" s="23">
        <v>105</v>
      </c>
      <c r="Q98" s="25" t="s">
        <v>75</v>
      </c>
      <c r="R98" s="22" t="s">
        <v>20</v>
      </c>
      <c r="S98" s="22" t="s">
        <v>37</v>
      </c>
    </row>
    <row r="99" spans="1:19" x14ac:dyDescent="0.2">
      <c r="A99" s="22">
        <v>3</v>
      </c>
      <c r="B99" s="8" t="s">
        <v>128</v>
      </c>
      <c r="C99" s="7" t="s">
        <v>161</v>
      </c>
      <c r="D99" s="8">
        <v>0.1174</v>
      </c>
      <c r="E99" s="7">
        <v>10.879</v>
      </c>
      <c r="F99" s="7">
        <v>4.24</v>
      </c>
      <c r="G99" s="7">
        <v>-21.853999999999999</v>
      </c>
      <c r="H99" s="7">
        <v>12.907</v>
      </c>
      <c r="I99" s="7">
        <v>1.0189999999999999</v>
      </c>
      <c r="J99" s="7">
        <v>13.194000000000001</v>
      </c>
      <c r="K99" s="10">
        <f t="shared" si="10"/>
        <v>16.687936399999998</v>
      </c>
      <c r="L99" s="11">
        <f t="shared" si="11"/>
        <v>4.1154953114845423</v>
      </c>
      <c r="M99" s="11">
        <f t="shared" si="12"/>
        <v>21.393476649369905</v>
      </c>
      <c r="N99" s="11">
        <f t="shared" si="13"/>
        <v>0.50049538907095492</v>
      </c>
      <c r="O99" s="11">
        <f t="shared" si="14"/>
        <v>6.0646542401061128</v>
      </c>
      <c r="P99" s="23">
        <v>32</v>
      </c>
      <c r="Q99" s="25" t="s">
        <v>75</v>
      </c>
      <c r="R99" s="22" t="s">
        <v>94</v>
      </c>
      <c r="S99" s="22" t="s">
        <v>95</v>
      </c>
    </row>
    <row r="100" spans="1:19" x14ac:dyDescent="0.2">
      <c r="A100" s="22">
        <v>3</v>
      </c>
      <c r="B100" s="8" t="s">
        <v>130</v>
      </c>
      <c r="C100" s="30">
        <v>82</v>
      </c>
      <c r="D100" s="8">
        <v>3.8699999999999998E-2</v>
      </c>
      <c r="E100" s="7">
        <v>7.5810000000000004</v>
      </c>
      <c r="F100" s="7">
        <v>3.3580000000000001</v>
      </c>
      <c r="G100" s="7">
        <v>-21.623999999999999</v>
      </c>
      <c r="H100" s="7">
        <v>10.167</v>
      </c>
      <c r="I100" s="7">
        <v>1.0409999999999999</v>
      </c>
      <c r="J100" s="7">
        <v>12.946999999999999</v>
      </c>
      <c r="K100" s="10">
        <f>(J100*1.1306)+0.4514</f>
        <v>15.089278199999999</v>
      </c>
      <c r="L100" s="11">
        <f>(F100+0.4001)/1.048</f>
        <v>3.5859732824427479</v>
      </c>
      <c r="M100" s="11">
        <f>(H100+1.8141)/0.6406</f>
        <v>18.702934748673119</v>
      </c>
      <c r="N100" s="11">
        <f>(I100+0.445)/3.0192</f>
        <v>0.49218335983041861</v>
      </c>
      <c r="O100" s="11">
        <f>(M100/12)/(L100/14)</f>
        <v>6.0848447050489156</v>
      </c>
      <c r="P100" s="23">
        <v>37</v>
      </c>
      <c r="Q100" s="25" t="s">
        <v>93</v>
      </c>
      <c r="R100" s="22" t="s">
        <v>94</v>
      </c>
      <c r="S100" s="22" t="s">
        <v>95</v>
      </c>
    </row>
    <row r="102" spans="1:19" x14ac:dyDescent="0.2">
      <c r="A102" s="1" t="s">
        <v>0</v>
      </c>
      <c r="B102" s="3" t="s">
        <v>1</v>
      </c>
      <c r="C102" s="3" t="s">
        <v>2</v>
      </c>
      <c r="D102" s="3" t="s">
        <v>3</v>
      </c>
      <c r="E102" s="3" t="s">
        <v>4</v>
      </c>
      <c r="F102" s="3" t="s">
        <v>5</v>
      </c>
      <c r="G102" s="3" t="s">
        <v>6</v>
      </c>
      <c r="H102" s="3" t="s">
        <v>5</v>
      </c>
      <c r="I102" s="3" t="s">
        <v>5</v>
      </c>
      <c r="J102" s="3" t="s">
        <v>7</v>
      </c>
      <c r="K102" s="4" t="s">
        <v>8</v>
      </c>
      <c r="L102" s="1" t="s">
        <v>9</v>
      </c>
      <c r="M102" s="1" t="s">
        <v>10</v>
      </c>
      <c r="N102" s="1" t="s">
        <v>11</v>
      </c>
      <c r="O102" s="1" t="s">
        <v>12</v>
      </c>
      <c r="P102" s="1" t="s">
        <v>13</v>
      </c>
      <c r="Q102" s="1" t="s">
        <v>14</v>
      </c>
      <c r="R102" s="1" t="s">
        <v>15</v>
      </c>
      <c r="S102" s="1" t="s">
        <v>16</v>
      </c>
    </row>
    <row r="103" spans="1:19" x14ac:dyDescent="0.2">
      <c r="A103" s="13"/>
      <c r="B103" s="18"/>
      <c r="C103" s="15" t="s">
        <v>38</v>
      </c>
      <c r="D103" s="15">
        <v>0.17230000000000001</v>
      </c>
      <c r="E103" s="15">
        <v>3.9540000000000002</v>
      </c>
      <c r="F103" s="15">
        <v>6.3120000000000003</v>
      </c>
      <c r="G103" s="15">
        <v>-29.045000000000002</v>
      </c>
      <c r="H103" s="15">
        <v>47.66</v>
      </c>
      <c r="I103" s="15">
        <v>1.1399999999999999</v>
      </c>
      <c r="J103" s="15">
        <v>5.13</v>
      </c>
      <c r="K103" s="16">
        <f t="shared" ref="K103:K144" si="15">(J103*1.1306)+0.4514</f>
        <v>6.2513780000000008</v>
      </c>
      <c r="L103" s="17">
        <f t="shared" ref="L103:L144" si="16">(F103+0.4001)/1.048</f>
        <v>6.4046755725190838</v>
      </c>
      <c r="M103" s="17">
        <f t="shared" ref="M103:M144" si="17">(H103+1.8141)/0.6406</f>
        <v>77.230877302528882</v>
      </c>
      <c r="N103" s="17">
        <f t="shared" ref="N103:N144" si="18">(I103+0.445)/3.0192</f>
        <v>0.52497350291467937</v>
      </c>
      <c r="O103" s="17">
        <f t="shared" ref="O103:O144" si="19">(M103/12)/(L103/14)</f>
        <v>14.068267653227055</v>
      </c>
      <c r="P103" s="18"/>
      <c r="Q103" s="18"/>
      <c r="R103" s="18"/>
      <c r="S103" s="18"/>
    </row>
    <row r="104" spans="1:19" x14ac:dyDescent="0.2">
      <c r="A104" s="5">
        <v>4</v>
      </c>
      <c r="B104" s="8" t="s">
        <v>17</v>
      </c>
      <c r="C104" s="7" t="s">
        <v>162</v>
      </c>
      <c r="D104" s="8">
        <v>3.1099999999999999E-2</v>
      </c>
      <c r="E104" s="7">
        <v>8.2929999999999993</v>
      </c>
      <c r="F104" s="7">
        <v>2.1150000000000002</v>
      </c>
      <c r="G104" s="7">
        <v>-17.876999999999999</v>
      </c>
      <c r="H104" s="7">
        <v>6.2930000000000001</v>
      </c>
      <c r="I104" s="7">
        <v>0.42599999999999999</v>
      </c>
      <c r="J104" s="7">
        <v>11.302</v>
      </c>
      <c r="K104" s="10">
        <f t="shared" si="15"/>
        <v>13.2294412</v>
      </c>
      <c r="L104" s="11">
        <f t="shared" si="16"/>
        <v>2.3999045801526719</v>
      </c>
      <c r="M104" s="11">
        <f t="shared" si="17"/>
        <v>12.655479238214177</v>
      </c>
      <c r="N104" s="11">
        <f t="shared" si="18"/>
        <v>0.28848701642819291</v>
      </c>
      <c r="O104" s="11">
        <f t="shared" si="19"/>
        <v>6.152213675502578</v>
      </c>
      <c r="P104" s="8">
        <v>96</v>
      </c>
      <c r="Q104" s="22" t="s">
        <v>116</v>
      </c>
      <c r="R104" s="22" t="s">
        <v>20</v>
      </c>
      <c r="S104" s="22" t="s">
        <v>37</v>
      </c>
    </row>
    <row r="105" spans="1:19" x14ac:dyDescent="0.2">
      <c r="A105" s="5">
        <v>4</v>
      </c>
      <c r="B105" s="8" t="s">
        <v>22</v>
      </c>
      <c r="C105" s="7" t="s">
        <v>163</v>
      </c>
      <c r="D105" s="8">
        <v>3.5400000000000001E-2</v>
      </c>
      <c r="E105" s="7">
        <v>8.1739999999999995</v>
      </c>
      <c r="F105" s="7">
        <v>2.9319999999999999</v>
      </c>
      <c r="G105" s="7">
        <v>-20.952000000000002</v>
      </c>
      <c r="H105" s="7">
        <v>8.4380000000000006</v>
      </c>
      <c r="I105" s="7">
        <v>0.83899999999999997</v>
      </c>
      <c r="J105" s="7">
        <v>11.334</v>
      </c>
      <c r="K105" s="10">
        <f t="shared" si="15"/>
        <v>13.2656204</v>
      </c>
      <c r="L105" s="11">
        <f t="shared" si="16"/>
        <v>3.1794847328244273</v>
      </c>
      <c r="M105" s="11">
        <f t="shared" si="17"/>
        <v>16.003902591320639</v>
      </c>
      <c r="N105" s="11">
        <f t="shared" si="18"/>
        <v>0.42527821939586646</v>
      </c>
      <c r="O105" s="11">
        <f t="shared" si="19"/>
        <v>5.8724042600726376</v>
      </c>
      <c r="P105" s="8">
        <v>171</v>
      </c>
      <c r="Q105" s="22" t="s">
        <v>93</v>
      </c>
      <c r="R105" s="22" t="s">
        <v>20</v>
      </c>
      <c r="S105" s="22" t="s">
        <v>95</v>
      </c>
    </row>
    <row r="106" spans="1:19" x14ac:dyDescent="0.2">
      <c r="A106" s="5">
        <v>4</v>
      </c>
      <c r="B106" s="8" t="s">
        <v>25</v>
      </c>
      <c r="C106" s="7" t="s">
        <v>164</v>
      </c>
      <c r="D106" s="8">
        <v>3.3599999999999998E-2</v>
      </c>
      <c r="E106" s="7">
        <v>9.2360000000000007</v>
      </c>
      <c r="F106" s="7">
        <v>2.5569999999999999</v>
      </c>
      <c r="G106" s="7">
        <v>-17.106000000000002</v>
      </c>
      <c r="H106" s="7">
        <v>6.6130000000000004</v>
      </c>
      <c r="I106" s="7">
        <v>0.84899999999999998</v>
      </c>
      <c r="J106" s="7">
        <v>13.038</v>
      </c>
      <c r="K106" s="10">
        <f t="shared" si="15"/>
        <v>15.1921628</v>
      </c>
      <c r="L106" s="11">
        <f t="shared" si="16"/>
        <v>2.8216603053435114</v>
      </c>
      <c r="M106" s="11">
        <f t="shared" si="17"/>
        <v>13.155010927255701</v>
      </c>
      <c r="N106" s="11">
        <f t="shared" si="18"/>
        <v>0.42859035506094328</v>
      </c>
      <c r="O106" s="11">
        <f t="shared" si="19"/>
        <v>5.4391780326641985</v>
      </c>
      <c r="P106" s="8">
        <v>99</v>
      </c>
      <c r="Q106" s="22" t="s">
        <v>116</v>
      </c>
      <c r="R106" s="22" t="s">
        <v>20</v>
      </c>
      <c r="S106" s="22" t="s">
        <v>29</v>
      </c>
    </row>
    <row r="107" spans="1:19" x14ac:dyDescent="0.2">
      <c r="A107" s="5">
        <v>4</v>
      </c>
      <c r="B107" s="8" t="s">
        <v>79</v>
      </c>
      <c r="C107" s="7" t="s">
        <v>165</v>
      </c>
      <c r="D107" s="8">
        <v>3.4099999999999998E-2</v>
      </c>
      <c r="E107" s="7">
        <v>9.7159999999999993</v>
      </c>
      <c r="F107" s="7">
        <v>2.4279999999999999</v>
      </c>
      <c r="G107" s="7">
        <v>-16.594999999999999</v>
      </c>
      <c r="H107" s="7">
        <v>8.2829999999999995</v>
      </c>
      <c r="I107" s="7">
        <v>0.68500000000000005</v>
      </c>
      <c r="J107" s="7">
        <v>13.555999999999999</v>
      </c>
      <c r="K107" s="10">
        <f t="shared" si="15"/>
        <v>15.7778136</v>
      </c>
      <c r="L107" s="11">
        <f t="shared" si="16"/>
        <v>2.6985687022900762</v>
      </c>
      <c r="M107" s="11">
        <f t="shared" si="17"/>
        <v>15.761941929441148</v>
      </c>
      <c r="N107" s="11">
        <f t="shared" si="18"/>
        <v>0.37427133015368313</v>
      </c>
      <c r="O107" s="11">
        <f t="shared" si="19"/>
        <v>6.8143279937284325</v>
      </c>
      <c r="P107" s="8">
        <v>65</v>
      </c>
      <c r="Q107" s="22" t="s">
        <v>136</v>
      </c>
      <c r="R107" s="22" t="s">
        <v>20</v>
      </c>
      <c r="S107" s="22" t="s">
        <v>29</v>
      </c>
    </row>
    <row r="108" spans="1:19" x14ac:dyDescent="0.2">
      <c r="A108" s="5">
        <v>4</v>
      </c>
      <c r="B108" s="8" t="s">
        <v>81</v>
      </c>
      <c r="C108" s="7" t="s">
        <v>166</v>
      </c>
      <c r="D108" s="8">
        <v>3.3599999999999998E-2</v>
      </c>
      <c r="E108" s="7">
        <v>8.4830000000000005</v>
      </c>
      <c r="F108" s="7">
        <v>2.391</v>
      </c>
      <c r="G108" s="7">
        <v>-15.755000000000001</v>
      </c>
      <c r="H108" s="7">
        <v>6.4130000000000003</v>
      </c>
      <c r="I108" s="7">
        <v>0.59199999999999997</v>
      </c>
      <c r="J108" s="7">
        <v>13.772</v>
      </c>
      <c r="K108" s="10">
        <f t="shared" si="15"/>
        <v>16.022023200000003</v>
      </c>
      <c r="L108" s="11">
        <f t="shared" si="16"/>
        <v>2.6632633587786261</v>
      </c>
      <c r="M108" s="11">
        <f t="shared" si="17"/>
        <v>12.842803621604746</v>
      </c>
      <c r="N108" s="11">
        <f t="shared" si="18"/>
        <v>0.34346846846846846</v>
      </c>
      <c r="O108" s="11">
        <f t="shared" si="19"/>
        <v>5.6259065940604316</v>
      </c>
      <c r="P108" s="8">
        <v>95</v>
      </c>
      <c r="Q108" s="22" t="s">
        <v>32</v>
      </c>
      <c r="R108" s="22" t="s">
        <v>20</v>
      </c>
      <c r="S108" s="22" t="s">
        <v>21</v>
      </c>
    </row>
    <row r="109" spans="1:19" x14ac:dyDescent="0.2">
      <c r="A109" s="13"/>
      <c r="B109" s="18"/>
      <c r="C109" s="15" t="s">
        <v>38</v>
      </c>
      <c r="D109" s="15">
        <v>0.21129999999999999</v>
      </c>
      <c r="E109" s="15">
        <v>3.6</v>
      </c>
      <c r="F109" s="15">
        <v>7.84</v>
      </c>
      <c r="G109" s="15">
        <v>-28.994</v>
      </c>
      <c r="H109" s="15">
        <v>58.89</v>
      </c>
      <c r="I109" s="15">
        <v>1.518</v>
      </c>
      <c r="J109" s="15">
        <v>5.7480000000000002</v>
      </c>
      <c r="K109" s="16">
        <f t="shared" si="15"/>
        <v>6.9500888000000014</v>
      </c>
      <c r="L109" s="17">
        <f t="shared" si="16"/>
        <v>7.8626908396946558</v>
      </c>
      <c r="M109" s="17">
        <f t="shared" si="17"/>
        <v>94.761317514829855</v>
      </c>
      <c r="N109" s="17">
        <f t="shared" si="18"/>
        <v>0.65017223105458399</v>
      </c>
      <c r="O109" s="17">
        <f t="shared" si="19"/>
        <v>14.060691522529901</v>
      </c>
      <c r="P109" s="18"/>
      <c r="Q109" s="13"/>
      <c r="R109" s="13"/>
      <c r="S109" s="13"/>
    </row>
    <row r="110" spans="1:19" x14ac:dyDescent="0.2">
      <c r="A110" s="5">
        <v>4</v>
      </c>
      <c r="B110" s="8" t="s">
        <v>83</v>
      </c>
      <c r="C110" s="7" t="s">
        <v>167</v>
      </c>
      <c r="D110" s="8">
        <v>4.2799999999999998E-2</v>
      </c>
      <c r="E110" s="7">
        <v>8.2609999999999992</v>
      </c>
      <c r="F110" s="7">
        <v>2.6739999999999999</v>
      </c>
      <c r="G110" s="7">
        <v>-18.989999999999998</v>
      </c>
      <c r="H110" s="7">
        <v>11.342000000000001</v>
      </c>
      <c r="I110" s="7">
        <v>0.626</v>
      </c>
      <c r="J110" s="7">
        <v>6.1829999999999998</v>
      </c>
      <c r="K110" s="10">
        <f t="shared" si="15"/>
        <v>7.4418997999999998</v>
      </c>
      <c r="L110" s="11">
        <f t="shared" si="16"/>
        <v>2.9333015267175573</v>
      </c>
      <c r="M110" s="11">
        <f t="shared" si="17"/>
        <v>20.537152669372464</v>
      </c>
      <c r="N110" s="11">
        <f t="shared" si="18"/>
        <v>0.35472972972972971</v>
      </c>
      <c r="O110" s="11">
        <f t="shared" si="19"/>
        <v>8.1682742907147023</v>
      </c>
      <c r="P110" s="8">
        <v>148</v>
      </c>
      <c r="Q110" s="22" t="s">
        <v>77</v>
      </c>
      <c r="R110" s="22" t="s">
        <v>20</v>
      </c>
      <c r="S110" s="22" t="s">
        <v>21</v>
      </c>
    </row>
    <row r="111" spans="1:19" x14ac:dyDescent="0.2">
      <c r="A111" s="5">
        <v>4</v>
      </c>
      <c r="B111" s="8" t="s">
        <v>85</v>
      </c>
      <c r="C111" s="7" t="s">
        <v>168</v>
      </c>
      <c r="D111" s="8">
        <v>3.1800000000000002E-2</v>
      </c>
      <c r="E111" s="9">
        <v>8.99</v>
      </c>
      <c r="F111" s="9">
        <v>1.8560000000000001</v>
      </c>
      <c r="G111" s="7">
        <v>-17.631</v>
      </c>
      <c r="H111" s="7">
        <v>5.5739999999999998</v>
      </c>
      <c r="I111" s="7">
        <v>0.375</v>
      </c>
      <c r="J111" s="7">
        <v>13.301</v>
      </c>
      <c r="K111" s="10">
        <f t="shared" si="15"/>
        <v>15.489510600000001</v>
      </c>
      <c r="L111" s="11">
        <f t="shared" si="16"/>
        <v>2.1527671755725191</v>
      </c>
      <c r="M111" s="11">
        <f t="shared" si="17"/>
        <v>11.533093974399002</v>
      </c>
      <c r="N111" s="11">
        <f t="shared" si="18"/>
        <v>0.27159512453630102</v>
      </c>
      <c r="O111" s="11">
        <f t="shared" si="19"/>
        <v>6.250223645242607</v>
      </c>
      <c r="P111" s="8">
        <v>169</v>
      </c>
      <c r="Q111" s="22" t="s">
        <v>169</v>
      </c>
      <c r="R111" s="22" t="s">
        <v>20</v>
      </c>
      <c r="S111" s="22" t="s">
        <v>29</v>
      </c>
    </row>
    <row r="112" spans="1:19" x14ac:dyDescent="0.2">
      <c r="A112" s="5">
        <v>4</v>
      </c>
      <c r="B112" s="8" t="s">
        <v>87</v>
      </c>
      <c r="C112" s="7" t="s">
        <v>170</v>
      </c>
      <c r="D112" s="8">
        <v>4.8000000000000001E-2</v>
      </c>
      <c r="E112" s="7">
        <v>12.285</v>
      </c>
      <c r="F112" s="7">
        <v>5.3280000000000003</v>
      </c>
      <c r="G112" s="7">
        <v>-17.335999999999999</v>
      </c>
      <c r="H112" s="7">
        <v>12.7</v>
      </c>
      <c r="I112" s="7">
        <v>1.27</v>
      </c>
      <c r="J112" s="7">
        <v>9.4329999999999998</v>
      </c>
      <c r="K112" s="10">
        <f t="shared" si="15"/>
        <v>11.1163498</v>
      </c>
      <c r="L112" s="11">
        <f t="shared" si="16"/>
        <v>5.4657442748091603</v>
      </c>
      <c r="M112" s="11">
        <f t="shared" si="17"/>
        <v>22.657040274742428</v>
      </c>
      <c r="N112" s="11">
        <f t="shared" si="18"/>
        <v>0.56803126656067837</v>
      </c>
      <c r="O112" s="11">
        <f t="shared" si="19"/>
        <v>4.8361599673978706</v>
      </c>
      <c r="P112" s="8">
        <v>173</v>
      </c>
      <c r="Q112" s="22" t="s">
        <v>171</v>
      </c>
      <c r="R112" s="22" t="s">
        <v>20</v>
      </c>
      <c r="S112" s="22" t="s">
        <v>29</v>
      </c>
    </row>
    <row r="113" spans="1:19" x14ac:dyDescent="0.2">
      <c r="A113" s="5">
        <v>4</v>
      </c>
      <c r="B113" s="8" t="s">
        <v>89</v>
      </c>
      <c r="C113" s="7" t="s">
        <v>172</v>
      </c>
      <c r="D113" s="8">
        <v>3.27E-2</v>
      </c>
      <c r="E113" s="7">
        <v>12.119</v>
      </c>
      <c r="F113" s="7">
        <v>4.33</v>
      </c>
      <c r="G113" s="7">
        <v>-16.693999999999999</v>
      </c>
      <c r="H113" s="7">
        <v>9.6890000000000001</v>
      </c>
      <c r="I113" s="7">
        <v>0.79400000000000004</v>
      </c>
      <c r="J113" s="7">
        <v>9.1809999999999992</v>
      </c>
      <c r="K113" s="10">
        <f t="shared" si="15"/>
        <v>10.831438599999998</v>
      </c>
      <c r="L113" s="11">
        <f t="shared" si="16"/>
        <v>4.5134541984732826</v>
      </c>
      <c r="M113" s="11">
        <f t="shared" si="17"/>
        <v>17.956759288167344</v>
      </c>
      <c r="N113" s="11">
        <f t="shared" si="18"/>
        <v>0.41037360890302071</v>
      </c>
      <c r="O113" s="11">
        <f t="shared" si="19"/>
        <v>4.6415786184222902</v>
      </c>
      <c r="P113" s="8">
        <v>162</v>
      </c>
      <c r="Q113" s="22" t="s">
        <v>61</v>
      </c>
      <c r="R113" s="22" t="s">
        <v>20</v>
      </c>
      <c r="S113" s="22" t="s">
        <v>95</v>
      </c>
    </row>
    <row r="114" spans="1:19" x14ac:dyDescent="0.2">
      <c r="A114" s="5">
        <v>4</v>
      </c>
      <c r="B114" s="8" t="s">
        <v>91</v>
      </c>
      <c r="C114" s="7" t="s">
        <v>173</v>
      </c>
      <c r="D114" s="8">
        <v>4.3700000000000003E-2</v>
      </c>
      <c r="E114" s="9">
        <v>8.8740000000000006</v>
      </c>
      <c r="F114" s="9">
        <v>1.165</v>
      </c>
      <c r="G114" s="7">
        <v>-20.87</v>
      </c>
      <c r="H114" s="7">
        <v>3.3919999999999999</v>
      </c>
      <c r="I114" s="7">
        <v>0.22800000000000001</v>
      </c>
      <c r="J114" s="7">
        <v>14</v>
      </c>
      <c r="K114" s="10">
        <f t="shared" si="15"/>
        <v>16.279800000000002</v>
      </c>
      <c r="L114" s="11">
        <f t="shared" si="16"/>
        <v>1.4934160305343511</v>
      </c>
      <c r="M114" s="11">
        <f t="shared" si="17"/>
        <v>8.1269122697471126</v>
      </c>
      <c r="N114" s="11">
        <f t="shared" si="18"/>
        <v>0.22290673025967145</v>
      </c>
      <c r="O114" s="11">
        <f t="shared" si="19"/>
        <v>6.3487986295726389</v>
      </c>
      <c r="P114" s="8">
        <v>166</v>
      </c>
      <c r="Q114" s="22" t="s">
        <v>169</v>
      </c>
      <c r="R114" s="22" t="s">
        <v>20</v>
      </c>
      <c r="S114" s="22" t="s">
        <v>37</v>
      </c>
    </row>
    <row r="115" spans="1:19" x14ac:dyDescent="0.2">
      <c r="A115" s="5">
        <v>4</v>
      </c>
      <c r="B115" s="8" t="s">
        <v>96</v>
      </c>
      <c r="C115" s="7" t="s">
        <v>174</v>
      </c>
      <c r="D115" s="8">
        <v>5.04E-2</v>
      </c>
      <c r="E115" s="7">
        <v>10.194000000000001</v>
      </c>
      <c r="F115" s="7">
        <v>6.5270000000000001</v>
      </c>
      <c r="G115" s="7">
        <v>-17.285</v>
      </c>
      <c r="H115" s="7">
        <v>14.547000000000001</v>
      </c>
      <c r="I115" s="7">
        <v>1.8580000000000001</v>
      </c>
      <c r="J115" s="7">
        <v>12.654</v>
      </c>
      <c r="K115" s="10">
        <f t="shared" si="15"/>
        <v>14.7580124</v>
      </c>
      <c r="L115" s="11">
        <f t="shared" si="16"/>
        <v>6.6098282442748095</v>
      </c>
      <c r="M115" s="11">
        <f t="shared" si="17"/>
        <v>25.540274742428977</v>
      </c>
      <c r="N115" s="11">
        <f t="shared" si="18"/>
        <v>0.76278484366719657</v>
      </c>
      <c r="O115" s="11">
        <f t="shared" si="19"/>
        <v>4.5079820682647131</v>
      </c>
      <c r="P115" s="8">
        <v>155</v>
      </c>
      <c r="Q115" s="22" t="s">
        <v>61</v>
      </c>
      <c r="R115" s="22" t="s">
        <v>20</v>
      </c>
      <c r="S115" s="22" t="s">
        <v>29</v>
      </c>
    </row>
    <row r="116" spans="1:19" x14ac:dyDescent="0.2">
      <c r="A116" s="13"/>
      <c r="B116" s="18"/>
      <c r="C116" s="15" t="s">
        <v>38</v>
      </c>
      <c r="D116" s="15">
        <v>0.18509999999999999</v>
      </c>
      <c r="E116" s="15">
        <v>3.601</v>
      </c>
      <c r="F116" s="15">
        <v>6.867</v>
      </c>
      <c r="G116" s="15">
        <v>-28.995000000000001</v>
      </c>
      <c r="H116" s="15">
        <v>50.999000000000002</v>
      </c>
      <c r="I116" s="15">
        <v>1.294</v>
      </c>
      <c r="J116" s="15">
        <v>5.7380000000000004</v>
      </c>
      <c r="K116" s="16">
        <f t="shared" si="15"/>
        <v>6.9387828000000003</v>
      </c>
      <c r="L116" s="17">
        <f t="shared" si="16"/>
        <v>6.9342557251908392</v>
      </c>
      <c r="M116" s="17">
        <f t="shared" si="17"/>
        <v>82.443178270371547</v>
      </c>
      <c r="N116" s="17">
        <f t="shared" si="18"/>
        <v>0.57598039215686281</v>
      </c>
      <c r="O116" s="17">
        <f t="shared" si="19"/>
        <v>13.870804855477557</v>
      </c>
      <c r="P116" s="18"/>
      <c r="Q116" s="13"/>
      <c r="R116" s="13"/>
      <c r="S116" s="13"/>
    </row>
    <row r="117" spans="1:19" x14ac:dyDescent="0.2">
      <c r="A117" s="5">
        <v>4</v>
      </c>
      <c r="B117" s="8" t="s">
        <v>99</v>
      </c>
      <c r="C117" s="7" t="s">
        <v>175</v>
      </c>
      <c r="D117" s="8">
        <v>3.3799999999999997E-2</v>
      </c>
      <c r="E117" s="7">
        <v>8.8520000000000003</v>
      </c>
      <c r="F117" s="7">
        <v>4.9359999999999999</v>
      </c>
      <c r="G117" s="7">
        <v>-17.975000000000001</v>
      </c>
      <c r="H117" s="7">
        <v>16.916</v>
      </c>
      <c r="I117" s="7">
        <v>1.5609999999999999</v>
      </c>
      <c r="J117" s="7">
        <v>15.512</v>
      </c>
      <c r="K117" s="10">
        <f t="shared" si="15"/>
        <v>17.9892672</v>
      </c>
      <c r="L117" s="11">
        <f t="shared" si="16"/>
        <v>5.0916984732824426</v>
      </c>
      <c r="M117" s="11">
        <f t="shared" si="17"/>
        <v>29.238370277864504</v>
      </c>
      <c r="N117" s="11">
        <f t="shared" si="18"/>
        <v>0.66441441441441429</v>
      </c>
      <c r="O117" s="11">
        <f t="shared" si="19"/>
        <v>6.6994210615247711</v>
      </c>
      <c r="P117" s="8">
        <v>66</v>
      </c>
      <c r="Q117" s="22" t="s">
        <v>136</v>
      </c>
      <c r="R117" s="22" t="s">
        <v>20</v>
      </c>
      <c r="S117" s="22" t="s">
        <v>29</v>
      </c>
    </row>
    <row r="118" spans="1:19" x14ac:dyDescent="0.2">
      <c r="A118" s="5">
        <v>4</v>
      </c>
      <c r="B118" s="8" t="s">
        <v>30</v>
      </c>
      <c r="C118" s="7" t="s">
        <v>176</v>
      </c>
      <c r="D118" s="8">
        <v>3.4200000000000001E-2</v>
      </c>
      <c r="E118" s="7">
        <v>8.6519999999999992</v>
      </c>
      <c r="F118" s="7">
        <v>2.8719999999999999</v>
      </c>
      <c r="G118" s="7">
        <v>-18.361000000000001</v>
      </c>
      <c r="H118" s="7">
        <v>7.3479999999999999</v>
      </c>
      <c r="I118" s="7">
        <v>0.51900000000000002</v>
      </c>
      <c r="J118" s="7">
        <v>13.565</v>
      </c>
      <c r="K118" s="10">
        <f t="shared" si="15"/>
        <v>15.787989</v>
      </c>
      <c r="L118" s="11">
        <f t="shared" si="16"/>
        <v>3.1222328244274808</v>
      </c>
      <c r="M118" s="11">
        <f t="shared" si="17"/>
        <v>14.302372775522949</v>
      </c>
      <c r="N118" s="11">
        <f t="shared" si="18"/>
        <v>0.31928987811340748</v>
      </c>
      <c r="O118" s="11">
        <f t="shared" si="19"/>
        <v>5.3442848466956159</v>
      </c>
      <c r="P118" s="8">
        <v>103</v>
      </c>
      <c r="Q118" s="22" t="s">
        <v>116</v>
      </c>
      <c r="R118" s="22" t="s">
        <v>20</v>
      </c>
      <c r="S118" s="22" t="s">
        <v>21</v>
      </c>
    </row>
    <row r="119" spans="1:19" x14ac:dyDescent="0.2">
      <c r="A119" s="5">
        <v>4</v>
      </c>
      <c r="B119" s="8" t="s">
        <v>33</v>
      </c>
      <c r="C119" s="7" t="s">
        <v>177</v>
      </c>
      <c r="D119" s="8">
        <v>4.7399999999999998E-2</v>
      </c>
      <c r="E119" s="9">
        <v>10.667</v>
      </c>
      <c r="F119" s="9">
        <v>1.024</v>
      </c>
      <c r="G119" s="7">
        <v>-18.571999999999999</v>
      </c>
      <c r="H119" s="7">
        <v>2.609</v>
      </c>
      <c r="I119" s="7">
        <v>44.988</v>
      </c>
      <c r="J119" s="7">
        <v>6.2910000000000004</v>
      </c>
      <c r="K119" s="10">
        <f t="shared" si="15"/>
        <v>7.5640046000000005</v>
      </c>
      <c r="L119" s="11">
        <f t="shared" si="16"/>
        <v>1.3588740458015267</v>
      </c>
      <c r="M119" s="11">
        <f t="shared" si="17"/>
        <v>6.9046206681236342</v>
      </c>
      <c r="N119" s="11">
        <f t="shared" si="18"/>
        <v>15.048025967143614</v>
      </c>
      <c r="O119" s="11">
        <f t="shared" si="19"/>
        <v>5.9279892822782791</v>
      </c>
      <c r="P119" s="8">
        <v>160</v>
      </c>
      <c r="Q119" s="22" t="s">
        <v>61</v>
      </c>
      <c r="R119" s="22" t="s">
        <v>20</v>
      </c>
      <c r="S119" s="22" t="s">
        <v>21</v>
      </c>
    </row>
    <row r="120" spans="1:19" x14ac:dyDescent="0.2">
      <c r="A120" s="5">
        <v>4</v>
      </c>
      <c r="B120" s="8" t="s">
        <v>35</v>
      </c>
      <c r="C120" s="7" t="s">
        <v>178</v>
      </c>
      <c r="D120" s="8">
        <v>3.7600000000000001E-2</v>
      </c>
      <c r="E120" s="7">
        <v>9.7690000000000001</v>
      </c>
      <c r="F120" s="7">
        <v>3.9820000000000002</v>
      </c>
      <c r="G120" s="7">
        <v>-16.856999999999999</v>
      </c>
      <c r="H120" s="7">
        <v>9.3529999999999998</v>
      </c>
      <c r="I120" s="7">
        <v>1.0109999999999999</v>
      </c>
      <c r="J120" s="7">
        <v>10.593999999999999</v>
      </c>
      <c r="K120" s="10">
        <f t="shared" si="15"/>
        <v>12.4289764</v>
      </c>
      <c r="L120" s="11">
        <f t="shared" si="16"/>
        <v>4.1813931297709921</v>
      </c>
      <c r="M120" s="11">
        <f t="shared" si="17"/>
        <v>17.432251014673746</v>
      </c>
      <c r="N120" s="11">
        <f t="shared" si="18"/>
        <v>0.48224695283518809</v>
      </c>
      <c r="O120" s="11">
        <f t="shared" si="19"/>
        <v>4.8638397664607771</v>
      </c>
      <c r="P120" s="8">
        <v>161</v>
      </c>
      <c r="Q120" s="22" t="s">
        <v>61</v>
      </c>
      <c r="R120" s="22" t="s">
        <v>20</v>
      </c>
      <c r="S120" s="22" t="s">
        <v>21</v>
      </c>
    </row>
    <row r="121" spans="1:19" x14ac:dyDescent="0.2">
      <c r="A121" s="5">
        <v>4</v>
      </c>
      <c r="B121" s="8" t="s">
        <v>104</v>
      </c>
      <c r="C121" s="7" t="s">
        <v>179</v>
      </c>
      <c r="D121" s="8">
        <v>3.3799999999999997E-2</v>
      </c>
      <c r="E121" s="7">
        <v>7.9130000000000003</v>
      </c>
      <c r="F121" s="7">
        <v>2.0760000000000001</v>
      </c>
      <c r="G121" s="7">
        <v>-18.562000000000001</v>
      </c>
      <c r="H121" s="7">
        <v>6.4749999999999996</v>
      </c>
      <c r="I121" s="7">
        <v>0.48</v>
      </c>
      <c r="J121" s="7">
        <v>13.077</v>
      </c>
      <c r="K121" s="10">
        <f t="shared" si="15"/>
        <v>15.2362562</v>
      </c>
      <c r="L121" s="11">
        <f t="shared" si="16"/>
        <v>2.3626908396946567</v>
      </c>
      <c r="M121" s="11">
        <f t="shared" si="17"/>
        <v>12.939587886356541</v>
      </c>
      <c r="N121" s="11">
        <f t="shared" si="18"/>
        <v>0.30637254901960786</v>
      </c>
      <c r="O121" s="11">
        <f t="shared" si="19"/>
        <v>6.3894038161027149</v>
      </c>
      <c r="P121" s="8">
        <v>97</v>
      </c>
      <c r="Q121" s="22" t="s">
        <v>116</v>
      </c>
      <c r="R121" s="22" t="s">
        <v>20</v>
      </c>
      <c r="S121" s="22" t="s">
        <v>37</v>
      </c>
    </row>
    <row r="122" spans="1:19" x14ac:dyDescent="0.2">
      <c r="A122" s="5">
        <v>4</v>
      </c>
      <c r="B122" s="8" t="s">
        <v>106</v>
      </c>
      <c r="C122" s="7" t="s">
        <v>180</v>
      </c>
      <c r="D122" s="8">
        <v>3.2800000000000003E-2</v>
      </c>
      <c r="E122" s="9">
        <v>8.1920000000000002</v>
      </c>
      <c r="F122" s="9">
        <v>1.32</v>
      </c>
      <c r="G122" s="7">
        <v>-16.553000000000001</v>
      </c>
      <c r="H122" s="7">
        <v>4.46</v>
      </c>
      <c r="I122" s="7">
        <v>0.32500000000000001</v>
      </c>
      <c r="J122" s="7">
        <v>12.403</v>
      </c>
      <c r="K122" s="10">
        <f t="shared" si="15"/>
        <v>14.4742318</v>
      </c>
      <c r="L122" s="11">
        <f t="shared" si="16"/>
        <v>1.6413167938931297</v>
      </c>
      <c r="M122" s="11">
        <f t="shared" si="17"/>
        <v>9.7940992819231969</v>
      </c>
      <c r="N122" s="11">
        <f t="shared" si="18"/>
        <v>0.25503444621091681</v>
      </c>
      <c r="O122" s="11">
        <f t="shared" si="19"/>
        <v>6.9617572943616235</v>
      </c>
      <c r="P122" s="8">
        <v>168</v>
      </c>
      <c r="Q122" s="22" t="s">
        <v>169</v>
      </c>
      <c r="R122" s="22" t="s">
        <v>20</v>
      </c>
      <c r="S122" s="22" t="s">
        <v>29</v>
      </c>
    </row>
    <row r="123" spans="1:19" x14ac:dyDescent="0.2">
      <c r="A123" s="13"/>
      <c r="B123" s="18"/>
      <c r="C123" s="15" t="s">
        <v>38</v>
      </c>
      <c r="D123" s="15">
        <v>0.12939999999999999</v>
      </c>
      <c r="E123" s="15">
        <v>3.4049999999999998</v>
      </c>
      <c r="F123" s="15">
        <v>4.5759999999999996</v>
      </c>
      <c r="G123" s="15">
        <v>-28.978000000000002</v>
      </c>
      <c r="H123" s="15">
        <v>34.954000000000001</v>
      </c>
      <c r="I123" s="15">
        <v>0.81499999999999995</v>
      </c>
      <c r="J123" s="15">
        <v>5.3819999999999997</v>
      </c>
      <c r="K123" s="16">
        <f t="shared" si="15"/>
        <v>6.5362892000000006</v>
      </c>
      <c r="L123" s="17">
        <f t="shared" si="16"/>
        <v>4.7481870229007628</v>
      </c>
      <c r="M123" s="17">
        <f t="shared" si="17"/>
        <v>57.396347174523896</v>
      </c>
      <c r="N123" s="17">
        <f t="shared" si="18"/>
        <v>0.41732909379968203</v>
      </c>
      <c r="O123" s="17">
        <f t="shared" si="19"/>
        <v>14.102731150643656</v>
      </c>
      <c r="P123" s="18"/>
      <c r="Q123" s="13"/>
      <c r="R123" s="13"/>
      <c r="S123" s="13"/>
    </row>
    <row r="124" spans="1:19" x14ac:dyDescent="0.2">
      <c r="A124" s="5">
        <v>4</v>
      </c>
      <c r="B124" s="8" t="s">
        <v>108</v>
      </c>
      <c r="C124" s="7" t="s">
        <v>181</v>
      </c>
      <c r="D124" s="8">
        <v>3.2599999999999997E-2</v>
      </c>
      <c r="E124" s="7">
        <v>8.3079999999999998</v>
      </c>
      <c r="F124" s="7">
        <v>1.821</v>
      </c>
      <c r="G124" s="7">
        <v>-18.57</v>
      </c>
      <c r="H124" s="7">
        <v>7.9740000000000002</v>
      </c>
      <c r="I124" s="7">
        <v>0.40300000000000002</v>
      </c>
      <c r="J124" s="7">
        <v>8.5679999999999996</v>
      </c>
      <c r="K124" s="10">
        <f t="shared" si="15"/>
        <v>10.1383808</v>
      </c>
      <c r="L124" s="11">
        <f t="shared" si="16"/>
        <v>2.1193702290076333</v>
      </c>
      <c r="M124" s="11">
        <f t="shared" si="17"/>
        <v>15.279581642210429</v>
      </c>
      <c r="N124" s="11">
        <f t="shared" si="18"/>
        <v>0.2808691043985162</v>
      </c>
      <c r="O124" s="11">
        <f t="shared" si="19"/>
        <v>8.4110734116170462</v>
      </c>
      <c r="P124" s="8">
        <v>144</v>
      </c>
      <c r="Q124" s="22" t="s">
        <v>77</v>
      </c>
      <c r="R124" s="22" t="s">
        <v>20</v>
      </c>
      <c r="S124" s="22" t="s">
        <v>29</v>
      </c>
    </row>
    <row r="125" spans="1:19" x14ac:dyDescent="0.2">
      <c r="A125" s="5">
        <v>4</v>
      </c>
      <c r="B125" s="8" t="s">
        <v>110</v>
      </c>
      <c r="C125" s="7" t="s">
        <v>182</v>
      </c>
      <c r="D125" s="8">
        <v>3.1099999999999999E-2</v>
      </c>
      <c r="E125" s="9">
        <v>7.5730000000000004</v>
      </c>
      <c r="F125" s="9">
        <v>0.97899999999999998</v>
      </c>
      <c r="G125" s="7">
        <v>-16.434999999999999</v>
      </c>
      <c r="H125" s="7">
        <v>2.843</v>
      </c>
      <c r="I125" s="7">
        <v>44.74</v>
      </c>
      <c r="J125" s="7">
        <v>6.2850000000000001</v>
      </c>
      <c r="K125" s="10">
        <f t="shared" si="15"/>
        <v>7.5572210000000002</v>
      </c>
      <c r="L125" s="11">
        <f t="shared" si="16"/>
        <v>1.3159351145038167</v>
      </c>
      <c r="M125" s="11">
        <f t="shared" si="17"/>
        <v>7.2699032157352486</v>
      </c>
      <c r="N125" s="11">
        <f t="shared" si="18"/>
        <v>14.965885002649708</v>
      </c>
      <c r="O125" s="11">
        <f t="shared" si="19"/>
        <v>6.4452674438200983</v>
      </c>
      <c r="P125" s="8">
        <v>157</v>
      </c>
      <c r="Q125" s="22" t="s">
        <v>61</v>
      </c>
      <c r="R125" s="22" t="s">
        <v>20</v>
      </c>
      <c r="S125" s="22" t="s">
        <v>29</v>
      </c>
    </row>
    <row r="126" spans="1:19" x14ac:dyDescent="0.2">
      <c r="A126" s="5">
        <v>4</v>
      </c>
      <c r="B126" s="8" t="s">
        <v>112</v>
      </c>
      <c r="C126" s="7" t="s">
        <v>183</v>
      </c>
      <c r="D126" s="8">
        <v>2.4500000000000001E-2</v>
      </c>
      <c r="E126" s="9">
        <v>9.7029999999999994</v>
      </c>
      <c r="F126" s="9">
        <v>1.6359999999999999</v>
      </c>
      <c r="G126" s="7">
        <v>-17.681999999999999</v>
      </c>
      <c r="H126" s="7">
        <v>3.8090000000000002</v>
      </c>
      <c r="I126" s="7">
        <v>0.41899999999999998</v>
      </c>
      <c r="J126" s="7">
        <v>11.057</v>
      </c>
      <c r="K126" s="10">
        <f t="shared" si="15"/>
        <v>12.9524442</v>
      </c>
      <c r="L126" s="11">
        <f t="shared" si="16"/>
        <v>1.9428435114503815</v>
      </c>
      <c r="M126" s="11">
        <f t="shared" si="17"/>
        <v>8.7778645020293489</v>
      </c>
      <c r="N126" s="11">
        <f t="shared" si="18"/>
        <v>0.2861685214626391</v>
      </c>
      <c r="O126" s="11">
        <f t="shared" si="19"/>
        <v>5.2710585585913678</v>
      </c>
      <c r="P126" s="8">
        <v>153</v>
      </c>
      <c r="Q126" s="22" t="s">
        <v>61</v>
      </c>
      <c r="R126" s="22" t="s">
        <v>20</v>
      </c>
      <c r="S126" s="22" t="s">
        <v>37</v>
      </c>
    </row>
    <row r="127" spans="1:19" x14ac:dyDescent="0.2">
      <c r="A127" s="5">
        <v>4</v>
      </c>
      <c r="B127" s="8" t="s">
        <v>114</v>
      </c>
      <c r="C127" s="7" t="s">
        <v>184</v>
      </c>
      <c r="D127" s="8">
        <v>3.4000000000000002E-2</v>
      </c>
      <c r="E127" s="7">
        <v>8.7850000000000001</v>
      </c>
      <c r="F127" s="7">
        <v>2.4009999999999998</v>
      </c>
      <c r="G127" s="7">
        <v>-18.111999999999998</v>
      </c>
      <c r="H127" s="7">
        <v>8.8810000000000002</v>
      </c>
      <c r="I127" s="7">
        <v>0.64300000000000002</v>
      </c>
      <c r="J127" s="7">
        <v>14.442</v>
      </c>
      <c r="K127" s="10">
        <f t="shared" si="15"/>
        <v>16.779525200000002</v>
      </c>
      <c r="L127" s="11">
        <f t="shared" si="16"/>
        <v>2.6728053435114503</v>
      </c>
      <c r="M127" s="11">
        <f t="shared" si="17"/>
        <v>16.695441773337496</v>
      </c>
      <c r="N127" s="11">
        <f t="shared" si="18"/>
        <v>0.3603603603603604</v>
      </c>
      <c r="O127" s="11">
        <f t="shared" si="19"/>
        <v>7.2874799691314056</v>
      </c>
      <c r="P127" s="8">
        <v>67</v>
      </c>
      <c r="Q127" s="22" t="s">
        <v>136</v>
      </c>
      <c r="R127" s="22" t="s">
        <v>20</v>
      </c>
      <c r="S127" s="22" t="s">
        <v>29</v>
      </c>
    </row>
    <row r="128" spans="1:19" x14ac:dyDescent="0.2">
      <c r="A128" s="5">
        <v>4</v>
      </c>
      <c r="B128" s="8" t="s">
        <v>117</v>
      </c>
      <c r="C128" s="7" t="s">
        <v>185</v>
      </c>
      <c r="D128" s="8">
        <v>3.9199999999999999E-2</v>
      </c>
      <c r="E128" s="7">
        <v>8.1180000000000003</v>
      </c>
      <c r="F128" s="7">
        <v>2.5750000000000002</v>
      </c>
      <c r="G128" s="7">
        <v>-18.943000000000001</v>
      </c>
      <c r="H128" s="7">
        <v>8.16</v>
      </c>
      <c r="I128" s="7">
        <v>0.63200000000000001</v>
      </c>
      <c r="J128" s="7">
        <v>13.503</v>
      </c>
      <c r="K128" s="10">
        <f t="shared" si="15"/>
        <v>15.7178918</v>
      </c>
      <c r="L128" s="11">
        <f t="shared" si="16"/>
        <v>2.8388358778625955</v>
      </c>
      <c r="M128" s="11">
        <f t="shared" si="17"/>
        <v>15.569934436465815</v>
      </c>
      <c r="N128" s="11">
        <f t="shared" si="18"/>
        <v>0.3567170111287758</v>
      </c>
      <c r="O128" s="11">
        <f t="shared" si="19"/>
        <v>6.398722677440154</v>
      </c>
      <c r="P128" s="8">
        <v>101</v>
      </c>
      <c r="Q128" s="22" t="s">
        <v>116</v>
      </c>
      <c r="R128" s="22" t="s">
        <v>20</v>
      </c>
      <c r="S128" s="22" t="s">
        <v>21</v>
      </c>
    </row>
    <row r="129" spans="1:19" x14ac:dyDescent="0.2">
      <c r="A129" s="5">
        <v>4</v>
      </c>
      <c r="B129" s="8" t="s">
        <v>119</v>
      </c>
      <c r="C129" s="7" t="s">
        <v>186</v>
      </c>
      <c r="D129" s="8">
        <v>3.4599999999999999E-2</v>
      </c>
      <c r="E129" s="7">
        <v>8.6850000000000005</v>
      </c>
      <c r="F129" s="7">
        <v>2.2450000000000001</v>
      </c>
      <c r="G129" s="7">
        <v>-18.954999999999998</v>
      </c>
      <c r="H129" s="7">
        <v>9.5109999999999992</v>
      </c>
      <c r="I129" s="7">
        <v>0.55900000000000005</v>
      </c>
      <c r="J129" s="7">
        <v>7.6470000000000002</v>
      </c>
      <c r="K129" s="10">
        <f t="shared" si="15"/>
        <v>9.0970981999999996</v>
      </c>
      <c r="L129" s="11">
        <f t="shared" si="16"/>
        <v>2.5239503816793896</v>
      </c>
      <c r="M129" s="11">
        <f t="shared" si="17"/>
        <v>17.678894786137995</v>
      </c>
      <c r="N129" s="11">
        <f t="shared" si="18"/>
        <v>0.33253842077371487</v>
      </c>
      <c r="O129" s="11">
        <f t="shared" si="19"/>
        <v>8.1718632030993366</v>
      </c>
      <c r="P129" s="8">
        <v>142</v>
      </c>
      <c r="Q129" s="22" t="s">
        <v>77</v>
      </c>
      <c r="R129" s="22" t="s">
        <v>20</v>
      </c>
      <c r="S129" s="22" t="s">
        <v>37</v>
      </c>
    </row>
    <row r="130" spans="1:19" x14ac:dyDescent="0.2">
      <c r="A130" s="13"/>
      <c r="B130" s="18"/>
      <c r="C130" s="15" t="s">
        <v>38</v>
      </c>
      <c r="D130" s="15">
        <v>0.16839999999999999</v>
      </c>
      <c r="E130" s="15">
        <v>3.7919999999999998</v>
      </c>
      <c r="F130" s="15">
        <v>5.883</v>
      </c>
      <c r="G130" s="15">
        <v>-28.838000000000001</v>
      </c>
      <c r="H130" s="15">
        <v>45.238</v>
      </c>
      <c r="I130" s="15">
        <v>1.1659999999999999</v>
      </c>
      <c r="J130" s="15">
        <v>5.6349999999999998</v>
      </c>
      <c r="K130" s="16">
        <f t="shared" si="15"/>
        <v>6.8223310000000001</v>
      </c>
      <c r="L130" s="17">
        <f t="shared" si="16"/>
        <v>5.9953244274809157</v>
      </c>
      <c r="M130" s="17">
        <f t="shared" si="17"/>
        <v>73.450046831095861</v>
      </c>
      <c r="N130" s="17">
        <f t="shared" si="18"/>
        <v>0.53358505564387915</v>
      </c>
      <c r="O130" s="17">
        <f t="shared" si="19"/>
        <v>14.293091614885412</v>
      </c>
      <c r="P130" s="18"/>
      <c r="Q130" s="13"/>
      <c r="R130" s="13"/>
      <c r="S130" s="13"/>
    </row>
    <row r="131" spans="1:19" x14ac:dyDescent="0.2">
      <c r="A131" s="5">
        <v>4</v>
      </c>
      <c r="B131" s="8" t="s">
        <v>121</v>
      </c>
      <c r="C131" s="7" t="s">
        <v>187</v>
      </c>
      <c r="D131" s="8">
        <v>3.0099999999999998E-2</v>
      </c>
      <c r="E131" s="9">
        <v>9.9320000000000004</v>
      </c>
      <c r="F131" s="9">
        <v>1.6679999999999999</v>
      </c>
      <c r="G131" s="7">
        <v>-17.664000000000001</v>
      </c>
      <c r="H131" s="7">
        <v>3.9350000000000001</v>
      </c>
      <c r="I131" s="7">
        <v>0.38700000000000001</v>
      </c>
      <c r="J131" s="7">
        <v>11.231</v>
      </c>
      <c r="K131" s="10">
        <f t="shared" si="15"/>
        <v>13.149168599999999</v>
      </c>
      <c r="L131" s="11">
        <f t="shared" si="16"/>
        <v>1.9733778625954197</v>
      </c>
      <c r="M131" s="11">
        <f t="shared" si="17"/>
        <v>8.9745551045894487</v>
      </c>
      <c r="N131" s="11">
        <f t="shared" si="18"/>
        <v>0.27556968733439324</v>
      </c>
      <c r="O131" s="11">
        <f t="shared" si="19"/>
        <v>5.3057827834943661</v>
      </c>
      <c r="P131" s="8">
        <v>156</v>
      </c>
      <c r="Q131" s="22" t="s">
        <v>61</v>
      </c>
      <c r="R131" s="22" t="s">
        <v>20</v>
      </c>
      <c r="S131" s="22" t="s">
        <v>29</v>
      </c>
    </row>
    <row r="132" spans="1:19" x14ac:dyDescent="0.2">
      <c r="A132" s="5">
        <v>4</v>
      </c>
      <c r="B132" s="8" t="s">
        <v>39</v>
      </c>
      <c r="C132" s="7" t="s">
        <v>188</v>
      </c>
      <c r="D132" s="8">
        <v>3.1399999999999997E-2</v>
      </c>
      <c r="E132" s="9">
        <v>10.475</v>
      </c>
      <c r="F132" s="9">
        <v>0.98299999999999998</v>
      </c>
      <c r="G132" s="7">
        <v>-18.013000000000002</v>
      </c>
      <c r="H132" s="7">
        <v>2.3450000000000002</v>
      </c>
      <c r="I132" s="7">
        <v>0.246</v>
      </c>
      <c r="J132" s="7">
        <v>10.798</v>
      </c>
      <c r="K132" s="10">
        <f t="shared" si="15"/>
        <v>12.659618800000001</v>
      </c>
      <c r="L132" s="11">
        <f t="shared" si="16"/>
        <v>1.3197519083969464</v>
      </c>
      <c r="M132" s="11">
        <f t="shared" si="17"/>
        <v>6.4925070246643788</v>
      </c>
      <c r="N132" s="11">
        <f t="shared" si="18"/>
        <v>0.22886857445680978</v>
      </c>
      <c r="O132" s="11">
        <f t="shared" si="19"/>
        <v>5.7394056266042339</v>
      </c>
      <c r="P132" s="8">
        <v>159</v>
      </c>
      <c r="Q132" s="22" t="s">
        <v>61</v>
      </c>
      <c r="R132" s="22" t="s">
        <v>20</v>
      </c>
      <c r="S132" s="22" t="s">
        <v>21</v>
      </c>
    </row>
    <row r="133" spans="1:19" x14ac:dyDescent="0.2">
      <c r="A133" s="5">
        <v>4</v>
      </c>
      <c r="B133" s="8" t="s">
        <v>41</v>
      </c>
      <c r="C133" s="7" t="s">
        <v>189</v>
      </c>
      <c r="D133" s="8">
        <v>3.39E-2</v>
      </c>
      <c r="E133" s="9">
        <v>8.0839999999999996</v>
      </c>
      <c r="F133" s="9">
        <v>1.86</v>
      </c>
      <c r="G133" s="7">
        <v>-16.818999999999999</v>
      </c>
      <c r="H133" s="7">
        <v>7.4779999999999998</v>
      </c>
      <c r="I133" s="7">
        <v>0.498</v>
      </c>
      <c r="J133" s="7">
        <v>4.9790000000000001</v>
      </c>
      <c r="K133" s="10">
        <f t="shared" si="15"/>
        <v>6.0806573999999998</v>
      </c>
      <c r="L133" s="11">
        <f t="shared" si="16"/>
        <v>2.1565839694656486</v>
      </c>
      <c r="M133" s="11">
        <f t="shared" si="17"/>
        <v>14.505307524196066</v>
      </c>
      <c r="N133" s="11">
        <f t="shared" si="18"/>
        <v>0.31233439321674616</v>
      </c>
      <c r="O133" s="11">
        <f t="shared" si="19"/>
        <v>7.8470669437563503</v>
      </c>
      <c r="P133" s="8">
        <v>150</v>
      </c>
      <c r="Q133" s="22" t="s">
        <v>77</v>
      </c>
      <c r="R133" s="22" t="s">
        <v>20</v>
      </c>
      <c r="S133" s="22" t="s">
        <v>95</v>
      </c>
    </row>
    <row r="134" spans="1:19" x14ac:dyDescent="0.2">
      <c r="A134" s="5">
        <v>4</v>
      </c>
      <c r="B134" s="8" t="s">
        <v>43</v>
      </c>
      <c r="C134" s="7" t="s">
        <v>190</v>
      </c>
      <c r="D134" s="8">
        <v>3.4500000000000003E-2</v>
      </c>
      <c r="E134" s="7">
        <v>9.0589999999999993</v>
      </c>
      <c r="F134" s="7">
        <v>2.7290000000000001</v>
      </c>
      <c r="G134" s="7">
        <v>-18.483000000000001</v>
      </c>
      <c r="H134" s="7">
        <v>8.7789999999999999</v>
      </c>
      <c r="I134" s="7">
        <v>0.64100000000000001</v>
      </c>
      <c r="J134" s="7">
        <v>13.981</v>
      </c>
      <c r="K134" s="10">
        <f t="shared" si="15"/>
        <v>16.258318600000003</v>
      </c>
      <c r="L134" s="11">
        <f t="shared" si="16"/>
        <v>2.9857824427480919</v>
      </c>
      <c r="M134" s="11">
        <f t="shared" si="17"/>
        <v>16.536216047455511</v>
      </c>
      <c r="N134" s="11">
        <f t="shared" si="18"/>
        <v>0.359697933227345</v>
      </c>
      <c r="O134" s="11">
        <f t="shared" si="19"/>
        <v>6.4613723287917519</v>
      </c>
      <c r="P134" s="8">
        <v>102</v>
      </c>
      <c r="Q134" s="22" t="s">
        <v>116</v>
      </c>
      <c r="R134" s="22" t="s">
        <v>20</v>
      </c>
      <c r="S134" s="22" t="s">
        <v>21</v>
      </c>
    </row>
    <row r="135" spans="1:19" x14ac:dyDescent="0.2">
      <c r="A135" s="5">
        <v>4</v>
      </c>
      <c r="B135" s="8" t="s">
        <v>126</v>
      </c>
      <c r="C135" s="7" t="s">
        <v>191</v>
      </c>
      <c r="D135" s="8">
        <v>3.7199999999999997E-2</v>
      </c>
      <c r="E135" s="7">
        <v>10.335000000000001</v>
      </c>
      <c r="F135" s="7">
        <v>2.4710000000000001</v>
      </c>
      <c r="G135" s="7">
        <v>-17.622</v>
      </c>
      <c r="H135" s="7">
        <v>5.75</v>
      </c>
      <c r="I135" s="7">
        <v>0.63200000000000001</v>
      </c>
      <c r="J135" s="7">
        <v>10.486000000000001</v>
      </c>
      <c r="K135" s="10">
        <f t="shared" si="15"/>
        <v>12.306871600000001</v>
      </c>
      <c r="L135" s="11">
        <f t="shared" si="16"/>
        <v>2.7395992366412214</v>
      </c>
      <c r="M135" s="11">
        <f t="shared" si="17"/>
        <v>11.807836403371839</v>
      </c>
      <c r="N135" s="11">
        <f t="shared" si="18"/>
        <v>0.3567170111287758</v>
      </c>
      <c r="O135" s="11">
        <f t="shared" si="19"/>
        <v>5.0284030426860671</v>
      </c>
      <c r="P135" s="8">
        <v>154</v>
      </c>
      <c r="Q135" s="22" t="s">
        <v>61</v>
      </c>
      <c r="R135" s="22" t="s">
        <v>20</v>
      </c>
      <c r="S135" s="22" t="s">
        <v>29</v>
      </c>
    </row>
    <row r="136" spans="1:19" x14ac:dyDescent="0.2">
      <c r="A136" s="5">
        <v>4</v>
      </c>
      <c r="B136" s="8" t="s">
        <v>128</v>
      </c>
      <c r="C136" s="7" t="s">
        <v>192</v>
      </c>
      <c r="D136" s="8">
        <v>5.11E-2</v>
      </c>
      <c r="E136" s="7">
        <v>8.9879999999999995</v>
      </c>
      <c r="F136" s="7">
        <v>2.2669999999999999</v>
      </c>
      <c r="G136" s="7">
        <v>-18.038</v>
      </c>
      <c r="H136" s="7">
        <v>7.3280000000000003</v>
      </c>
      <c r="I136" s="7">
        <v>0.504</v>
      </c>
      <c r="J136" s="7">
        <v>6.875</v>
      </c>
      <c r="K136" s="10">
        <f t="shared" si="15"/>
        <v>8.2242750000000004</v>
      </c>
      <c r="L136" s="11">
        <f t="shared" si="16"/>
        <v>2.5449427480916031</v>
      </c>
      <c r="M136" s="11">
        <f t="shared" si="17"/>
        <v>14.271152044957855</v>
      </c>
      <c r="N136" s="11">
        <f t="shared" si="18"/>
        <v>0.31432167461579225</v>
      </c>
      <c r="O136" s="11">
        <f t="shared" si="19"/>
        <v>6.5422600953476824</v>
      </c>
      <c r="P136" s="8">
        <v>143</v>
      </c>
      <c r="Q136" s="22" t="s">
        <v>77</v>
      </c>
      <c r="R136" s="22" t="s">
        <v>20</v>
      </c>
      <c r="S136" s="22" t="s">
        <v>29</v>
      </c>
    </row>
    <row r="137" spans="1:19" x14ac:dyDescent="0.2">
      <c r="A137" s="13"/>
      <c r="B137" s="18"/>
      <c r="C137" s="15" t="s">
        <v>38</v>
      </c>
      <c r="D137" s="15">
        <v>0.14460000000000001</v>
      </c>
      <c r="E137" s="15">
        <v>3.7170000000000001</v>
      </c>
      <c r="F137" s="15">
        <v>4.9169999999999998</v>
      </c>
      <c r="G137" s="15">
        <v>-28.9</v>
      </c>
      <c r="H137" s="15">
        <v>37.445</v>
      </c>
      <c r="I137" s="15">
        <v>0.94</v>
      </c>
      <c r="J137" s="15">
        <v>5.4820000000000002</v>
      </c>
      <c r="K137" s="16">
        <f t="shared" si="15"/>
        <v>6.6493492000000014</v>
      </c>
      <c r="L137" s="17">
        <f t="shared" si="16"/>
        <v>5.0735687022900757</v>
      </c>
      <c r="M137" s="17">
        <f t="shared" si="17"/>
        <v>61.284889166406508</v>
      </c>
      <c r="N137" s="17">
        <f t="shared" si="18"/>
        <v>0.45873078961314256</v>
      </c>
      <c r="O137" s="17">
        <f t="shared" si="19"/>
        <v>14.092454750545668</v>
      </c>
      <c r="P137" s="18"/>
      <c r="Q137" s="13"/>
      <c r="R137" s="13"/>
      <c r="S137" s="13"/>
    </row>
    <row r="138" spans="1:19" x14ac:dyDescent="0.2">
      <c r="A138" s="5">
        <v>4</v>
      </c>
      <c r="B138" s="8" t="s">
        <v>130</v>
      </c>
      <c r="C138" s="7" t="s">
        <v>193</v>
      </c>
      <c r="D138" s="8">
        <v>4.24E-2</v>
      </c>
      <c r="E138" s="7">
        <v>7.5579999999999998</v>
      </c>
      <c r="F138" s="7">
        <v>2.3740000000000001</v>
      </c>
      <c r="G138" s="7">
        <v>-19.751999999999999</v>
      </c>
      <c r="H138" s="7">
        <v>10.872</v>
      </c>
      <c r="I138" s="7">
        <v>0.65400000000000003</v>
      </c>
      <c r="J138" s="7">
        <v>7.1740000000000004</v>
      </c>
      <c r="K138" s="10">
        <f t="shared" si="15"/>
        <v>8.5623243999999996</v>
      </c>
      <c r="L138" s="11">
        <f t="shared" si="16"/>
        <v>2.6470419847328244</v>
      </c>
      <c r="M138" s="11">
        <f t="shared" si="17"/>
        <v>19.803465501092727</v>
      </c>
      <c r="N138" s="11">
        <f t="shared" si="18"/>
        <v>0.36400370959194489</v>
      </c>
      <c r="O138" s="11">
        <f t="shared" si="19"/>
        <v>8.7282495774014546</v>
      </c>
      <c r="P138" s="8">
        <v>147</v>
      </c>
      <c r="Q138" s="22" t="s">
        <v>77</v>
      </c>
      <c r="R138" s="22" t="s">
        <v>20</v>
      </c>
      <c r="S138" s="22" t="s">
        <v>21</v>
      </c>
    </row>
    <row r="139" spans="1:19" x14ac:dyDescent="0.2">
      <c r="A139" s="5">
        <v>4</v>
      </c>
      <c r="B139" s="8" t="s">
        <v>194</v>
      </c>
      <c r="C139" s="7" t="s">
        <v>195</v>
      </c>
      <c r="D139" s="8">
        <v>4.2099999999999999E-2</v>
      </c>
      <c r="E139" s="7">
        <v>10.496</v>
      </c>
      <c r="F139" s="7">
        <v>3.3490000000000002</v>
      </c>
      <c r="G139" s="7">
        <v>-18.420999999999999</v>
      </c>
      <c r="H139" s="7">
        <v>7.9939999999999998</v>
      </c>
      <c r="I139" s="7">
        <v>0.96899999999999997</v>
      </c>
      <c r="J139" s="7">
        <v>13.441000000000001</v>
      </c>
      <c r="K139" s="10">
        <f t="shared" si="15"/>
        <v>15.647794600000001</v>
      </c>
      <c r="L139" s="11">
        <f t="shared" si="16"/>
        <v>3.5773854961832061</v>
      </c>
      <c r="M139" s="11">
        <f t="shared" si="17"/>
        <v>15.310802372775523</v>
      </c>
      <c r="N139" s="11">
        <f t="shared" si="18"/>
        <v>0.46833598304186536</v>
      </c>
      <c r="O139" s="11">
        <f t="shared" si="19"/>
        <v>4.9932004217314931</v>
      </c>
      <c r="P139" s="8">
        <v>158</v>
      </c>
      <c r="Q139" s="22" t="s">
        <v>61</v>
      </c>
      <c r="R139" s="22" t="s">
        <v>20</v>
      </c>
      <c r="S139" s="22" t="s">
        <v>21</v>
      </c>
    </row>
    <row r="140" spans="1:19" x14ac:dyDescent="0.2">
      <c r="A140" s="5">
        <v>4</v>
      </c>
      <c r="B140" s="8" t="s">
        <v>196</v>
      </c>
      <c r="C140" s="7" t="s">
        <v>197</v>
      </c>
      <c r="D140" s="8">
        <v>2.9899999999999999E-2</v>
      </c>
      <c r="E140" s="7">
        <v>8.5289999999999999</v>
      </c>
      <c r="F140" s="7">
        <v>2.0649999999999999</v>
      </c>
      <c r="G140" s="7">
        <v>-18.832999999999998</v>
      </c>
      <c r="H140" s="7">
        <v>6.3719999999999999</v>
      </c>
      <c r="I140" s="7">
        <v>0.46600000000000003</v>
      </c>
      <c r="J140" s="7">
        <v>14.08</v>
      </c>
      <c r="K140" s="10">
        <f t="shared" si="15"/>
        <v>16.370248</v>
      </c>
      <c r="L140" s="11">
        <f t="shared" si="16"/>
        <v>2.3521946564885496</v>
      </c>
      <c r="M140" s="11">
        <f t="shared" si="17"/>
        <v>12.778801123946302</v>
      </c>
      <c r="N140" s="11">
        <f t="shared" si="18"/>
        <v>0.30173555908850025</v>
      </c>
      <c r="O140" s="11">
        <f t="shared" si="19"/>
        <v>6.338166473656921</v>
      </c>
      <c r="P140" s="8">
        <v>98</v>
      </c>
      <c r="Q140" s="22" t="s">
        <v>116</v>
      </c>
      <c r="R140" s="22" t="s">
        <v>20</v>
      </c>
      <c r="S140" s="22" t="s">
        <v>29</v>
      </c>
    </row>
    <row r="141" spans="1:19" x14ac:dyDescent="0.2">
      <c r="A141" s="5">
        <v>4</v>
      </c>
      <c r="B141" s="8" t="s">
        <v>198</v>
      </c>
      <c r="C141" s="7" t="s">
        <v>199</v>
      </c>
      <c r="D141" s="8">
        <v>4.5499999999999999E-2</v>
      </c>
      <c r="E141" s="9">
        <v>8.0860000000000003</v>
      </c>
      <c r="F141" s="9">
        <v>0.495</v>
      </c>
      <c r="G141" s="9">
        <v>-17.32</v>
      </c>
      <c r="H141" s="9">
        <v>1.635</v>
      </c>
      <c r="I141" s="7">
        <v>44</v>
      </c>
      <c r="J141" s="7">
        <v>6.3010000000000002</v>
      </c>
      <c r="K141" s="10">
        <f t="shared" si="15"/>
        <v>7.5753105999999999</v>
      </c>
      <c r="L141" s="11">
        <f t="shared" si="16"/>
        <v>0.8541030534351145</v>
      </c>
      <c r="M141" s="11">
        <f t="shared" si="17"/>
        <v>5.3841710896034973</v>
      </c>
      <c r="N141" s="11">
        <f t="shared" si="18"/>
        <v>14.720786963434023</v>
      </c>
      <c r="O141" s="11">
        <f t="shared" si="19"/>
        <v>7.3545375029477631</v>
      </c>
      <c r="P141" s="8">
        <v>146</v>
      </c>
      <c r="Q141" s="22" t="s">
        <v>77</v>
      </c>
      <c r="R141" s="22" t="s">
        <v>20</v>
      </c>
      <c r="S141" s="22" t="s">
        <v>21</v>
      </c>
    </row>
    <row r="142" spans="1:19" x14ac:dyDescent="0.2">
      <c r="A142" s="5">
        <v>4</v>
      </c>
      <c r="B142" s="8" t="s">
        <v>200</v>
      </c>
      <c r="C142" s="7" t="s">
        <v>201</v>
      </c>
      <c r="D142" s="8">
        <v>3.8600000000000002E-2</v>
      </c>
      <c r="E142" s="9">
        <v>9.0449999999999999</v>
      </c>
      <c r="F142" s="9">
        <v>0.91700000000000004</v>
      </c>
      <c r="G142" s="9">
        <v>-20.98</v>
      </c>
      <c r="H142" s="9">
        <v>2.6230000000000002</v>
      </c>
      <c r="I142" s="8" t="s">
        <v>202</v>
      </c>
      <c r="J142" s="7"/>
      <c r="K142" s="10">
        <f t="shared" si="15"/>
        <v>0.45140000000000002</v>
      </c>
      <c r="L142" s="11">
        <f t="shared" si="16"/>
        <v>1.2567748091603053</v>
      </c>
      <c r="M142" s="11">
        <f t="shared" si="17"/>
        <v>6.9264751795192012</v>
      </c>
      <c r="N142" s="11" t="e">
        <f t="shared" si="18"/>
        <v>#VALUE!</v>
      </c>
      <c r="O142" s="11">
        <f t="shared" si="19"/>
        <v>6.429861300958275</v>
      </c>
      <c r="P142" s="8">
        <v>167</v>
      </c>
      <c r="Q142" s="22" t="s">
        <v>169</v>
      </c>
      <c r="R142" s="22" t="s">
        <v>20</v>
      </c>
      <c r="S142" s="22" t="s">
        <v>37</v>
      </c>
    </row>
    <row r="143" spans="1:19" x14ac:dyDescent="0.2">
      <c r="A143" s="5">
        <v>4</v>
      </c>
      <c r="B143" s="8" t="s">
        <v>203</v>
      </c>
      <c r="C143" s="7" t="s">
        <v>204</v>
      </c>
      <c r="D143" s="8">
        <v>2.7900000000000001E-2</v>
      </c>
      <c r="E143" s="9">
        <v>8.3309999999999995</v>
      </c>
      <c r="F143" s="9">
        <v>1.597</v>
      </c>
      <c r="G143" s="7">
        <v>-18.294</v>
      </c>
      <c r="H143" s="7">
        <v>6.7629999999999999</v>
      </c>
      <c r="I143" s="7">
        <v>0.48199999999999998</v>
      </c>
      <c r="J143" s="7">
        <v>13.827999999999999</v>
      </c>
      <c r="K143" s="10">
        <f t="shared" si="15"/>
        <v>16.0853368</v>
      </c>
      <c r="L143" s="11">
        <f t="shared" si="16"/>
        <v>1.9056297709923664</v>
      </c>
      <c r="M143" s="11">
        <f t="shared" si="17"/>
        <v>13.389166406493912</v>
      </c>
      <c r="N143" s="11">
        <f t="shared" si="18"/>
        <v>0.30703497615262321</v>
      </c>
      <c r="O143" s="11">
        <f t="shared" si="19"/>
        <v>8.1971295677097906</v>
      </c>
      <c r="P143" s="8">
        <v>68</v>
      </c>
      <c r="Q143" s="22" t="s">
        <v>136</v>
      </c>
      <c r="R143" s="22" t="s">
        <v>20</v>
      </c>
      <c r="S143" s="22" t="s">
        <v>21</v>
      </c>
    </row>
    <row r="144" spans="1:19" x14ac:dyDescent="0.2">
      <c r="A144" s="13"/>
      <c r="B144" s="18"/>
      <c r="C144" s="15" t="s">
        <v>38</v>
      </c>
      <c r="D144" s="15">
        <v>0.3629</v>
      </c>
      <c r="E144" s="15">
        <v>3.645</v>
      </c>
      <c r="F144" s="15">
        <v>13.019</v>
      </c>
      <c r="G144" s="15">
        <v>-29.161999999999999</v>
      </c>
      <c r="H144" s="15">
        <v>96.894999999999996</v>
      </c>
      <c r="I144" s="15">
        <v>3.0329999999999999</v>
      </c>
      <c r="J144" s="15">
        <v>6.02</v>
      </c>
      <c r="K144" s="16">
        <f t="shared" si="15"/>
        <v>7.257612</v>
      </c>
      <c r="L144" s="17">
        <f t="shared" si="16"/>
        <v>12.804484732824427</v>
      </c>
      <c r="M144" s="17">
        <f t="shared" si="17"/>
        <v>154.08851077115204</v>
      </c>
      <c r="N144" s="17">
        <f t="shared" si="18"/>
        <v>1.1519607843137254</v>
      </c>
      <c r="O144" s="17">
        <f t="shared" si="19"/>
        <v>14.039606667823866</v>
      </c>
      <c r="P144" s="18"/>
      <c r="Q144" s="18"/>
      <c r="R144" s="18"/>
      <c r="S144" s="18"/>
    </row>
    <row r="146" spans="1:19" x14ac:dyDescent="0.2">
      <c r="A146" s="1" t="s">
        <v>0</v>
      </c>
      <c r="B146" s="3" t="s">
        <v>1</v>
      </c>
      <c r="C146" s="3" t="s">
        <v>2</v>
      </c>
      <c r="D146" s="3" t="s">
        <v>3</v>
      </c>
      <c r="E146" s="3" t="s">
        <v>4</v>
      </c>
      <c r="F146" s="3" t="s">
        <v>5</v>
      </c>
      <c r="G146" s="3" t="s">
        <v>6</v>
      </c>
      <c r="H146" s="3" t="s">
        <v>5</v>
      </c>
      <c r="I146" s="3" t="s">
        <v>5</v>
      </c>
      <c r="J146" s="3" t="s">
        <v>7</v>
      </c>
      <c r="K146" s="4" t="s">
        <v>8</v>
      </c>
      <c r="L146" s="1" t="s">
        <v>9</v>
      </c>
      <c r="M146" s="1" t="s">
        <v>10</v>
      </c>
      <c r="N146" s="1" t="s">
        <v>11</v>
      </c>
      <c r="O146" s="1" t="s">
        <v>12</v>
      </c>
      <c r="P146" s="1" t="s">
        <v>13</v>
      </c>
      <c r="Q146" s="1" t="s">
        <v>14</v>
      </c>
      <c r="R146" s="1" t="s">
        <v>15</v>
      </c>
      <c r="S146" s="1" t="s">
        <v>16</v>
      </c>
    </row>
    <row r="147" spans="1:19" x14ac:dyDescent="0.2">
      <c r="A147" s="5">
        <v>4</v>
      </c>
      <c r="B147" s="8" t="s">
        <v>53</v>
      </c>
      <c r="C147" s="7" t="s">
        <v>205</v>
      </c>
      <c r="D147" s="8">
        <v>4.8599999999999997E-2</v>
      </c>
      <c r="E147" s="12" t="s">
        <v>206</v>
      </c>
      <c r="F147" s="12" t="s">
        <v>206</v>
      </c>
      <c r="G147" s="9">
        <v>-20.870999999999999</v>
      </c>
      <c r="H147" s="9">
        <v>0.38500000000000001</v>
      </c>
      <c r="I147" s="7">
        <v>0.53200000000000003</v>
      </c>
      <c r="J147" s="7">
        <v>10.292999999999999</v>
      </c>
      <c r="K147" s="10">
        <f t="shared" ref="K147:K164" si="20">(J147*1.1306)+0.4514</f>
        <v>12.088665799999999</v>
      </c>
      <c r="L147" s="11" t="e">
        <f>(F147+0.6634)/1.0648</f>
        <v>#VALUE!</v>
      </c>
      <c r="M147" s="11">
        <f>(H147+3.452)/0.6492</f>
        <v>5.9103512014787425</v>
      </c>
      <c r="N147" s="11">
        <f>(I147+0.4356)/3.002</f>
        <v>0.3223184543637575</v>
      </c>
      <c r="O147" s="11" t="e">
        <f>(M147/12)/(L147/14)</f>
        <v>#VALUE!</v>
      </c>
      <c r="P147" s="8">
        <v>55</v>
      </c>
      <c r="Q147" s="23" t="s">
        <v>24</v>
      </c>
      <c r="R147" s="22" t="s">
        <v>94</v>
      </c>
      <c r="S147" s="22" t="s">
        <v>95</v>
      </c>
    </row>
    <row r="148" spans="1:19" x14ac:dyDescent="0.2">
      <c r="A148" s="5">
        <v>4</v>
      </c>
      <c r="B148" s="8" t="s">
        <v>55</v>
      </c>
      <c r="C148" s="7" t="s">
        <v>207</v>
      </c>
      <c r="D148" s="8">
        <v>2.41E-2</v>
      </c>
      <c r="E148" s="7">
        <v>8.9</v>
      </c>
      <c r="F148" s="7">
        <v>2.1419999999999999</v>
      </c>
      <c r="G148" s="7">
        <v>-21.103999999999999</v>
      </c>
      <c r="H148" s="7">
        <v>6.258</v>
      </c>
      <c r="I148" s="7">
        <v>0.89200000000000002</v>
      </c>
      <c r="J148" s="7">
        <v>14.090999999999999</v>
      </c>
      <c r="K148" s="10">
        <f t="shared" si="20"/>
        <v>16.382684600000001</v>
      </c>
      <c r="L148" s="11">
        <f t="shared" ref="L148:L164" si="21">(F148+0.6634)/1.0648</f>
        <v>2.6346731780616075</v>
      </c>
      <c r="M148" s="11">
        <f t="shared" ref="M148:M164" si="22">(H148+3.452)/0.6492</f>
        <v>14.956869993838572</v>
      </c>
      <c r="N148" s="11">
        <f t="shared" ref="N148:N164" si="23">(I148+0.4356)/3.002</f>
        <v>0.44223850766155898</v>
      </c>
      <c r="O148" s="11">
        <f t="shared" ref="O148:O164" si="24">(M148/12)/(L148/14)</f>
        <v>6.6230915488032123</v>
      </c>
      <c r="P148" s="8">
        <v>151</v>
      </c>
      <c r="Q148" s="23" t="s">
        <v>61</v>
      </c>
      <c r="R148" s="22" t="s">
        <v>20</v>
      </c>
      <c r="S148" s="22" t="s">
        <v>37</v>
      </c>
    </row>
    <row r="149" spans="1:19" x14ac:dyDescent="0.2">
      <c r="A149" s="5">
        <v>4</v>
      </c>
      <c r="B149" s="8" t="s">
        <v>57</v>
      </c>
      <c r="C149" s="7" t="s">
        <v>208</v>
      </c>
      <c r="D149" s="8">
        <v>2.7199999999999998E-2</v>
      </c>
      <c r="E149" s="12" t="s">
        <v>206</v>
      </c>
      <c r="F149" s="12" t="s">
        <v>206</v>
      </c>
      <c r="G149" s="7">
        <v>-12.249000000000001</v>
      </c>
      <c r="H149" s="7">
        <v>5.4770000000000003</v>
      </c>
      <c r="I149" s="12" t="s">
        <v>206</v>
      </c>
      <c r="J149" s="12" t="s">
        <v>206</v>
      </c>
      <c r="K149" s="10" t="e">
        <f t="shared" si="20"/>
        <v>#VALUE!</v>
      </c>
      <c r="L149" s="11" t="e">
        <f t="shared" si="21"/>
        <v>#VALUE!</v>
      </c>
      <c r="M149" s="11">
        <f t="shared" si="22"/>
        <v>13.753850893407272</v>
      </c>
      <c r="N149" s="11" t="e">
        <f t="shared" si="23"/>
        <v>#VALUE!</v>
      </c>
      <c r="O149" s="11" t="e">
        <f t="shared" si="24"/>
        <v>#VALUE!</v>
      </c>
      <c r="P149" s="8">
        <v>42</v>
      </c>
      <c r="Q149" s="23" t="s">
        <v>93</v>
      </c>
      <c r="R149" s="22" t="s">
        <v>94</v>
      </c>
      <c r="S149" s="22" t="s">
        <v>95</v>
      </c>
    </row>
    <row r="150" spans="1:19" x14ac:dyDescent="0.2">
      <c r="A150" s="5">
        <v>4</v>
      </c>
      <c r="B150" s="8" t="s">
        <v>209</v>
      </c>
      <c r="C150" s="7" t="s">
        <v>210</v>
      </c>
      <c r="D150" s="8">
        <v>7.8700000000000006E-2</v>
      </c>
      <c r="E150" s="7">
        <v>6.6879999999999997</v>
      </c>
      <c r="F150" s="7">
        <v>3.1930000000000001</v>
      </c>
      <c r="G150" s="7">
        <v>-24.791</v>
      </c>
      <c r="H150" s="7">
        <v>17.28</v>
      </c>
      <c r="I150" s="7">
        <v>4.2779999999999996</v>
      </c>
      <c r="J150" s="7">
        <v>19.577000000000002</v>
      </c>
      <c r="K150" s="10">
        <f t="shared" si="20"/>
        <v>22.585156200000004</v>
      </c>
      <c r="L150" s="11">
        <f t="shared" si="21"/>
        <v>3.6217129977460556</v>
      </c>
      <c r="M150" s="11">
        <f t="shared" si="22"/>
        <v>31.934688847812691</v>
      </c>
      <c r="N150" s="11">
        <f t="shared" si="23"/>
        <v>1.5701532311792139</v>
      </c>
      <c r="O150" s="11">
        <f t="shared" si="24"/>
        <v>10.287158869932954</v>
      </c>
      <c r="P150" s="8">
        <v>108</v>
      </c>
      <c r="Q150" s="23" t="s">
        <v>75</v>
      </c>
      <c r="R150" s="22" t="s">
        <v>20</v>
      </c>
      <c r="S150" s="22" t="s">
        <v>37</v>
      </c>
    </row>
    <row r="151" spans="1:19" x14ac:dyDescent="0.2">
      <c r="A151" s="5">
        <v>4</v>
      </c>
      <c r="B151" s="8" t="s">
        <v>211</v>
      </c>
      <c r="C151" s="7" t="s">
        <v>212</v>
      </c>
      <c r="D151" s="8">
        <v>8.2299999999999998E-2</v>
      </c>
      <c r="E151" s="9">
        <v>8.6649999999999991</v>
      </c>
      <c r="F151" s="9">
        <v>0.90500000000000003</v>
      </c>
      <c r="G151" s="9">
        <v>-21.521999999999998</v>
      </c>
      <c r="H151" s="9">
        <v>2.72</v>
      </c>
      <c r="I151" s="7">
        <v>0.40400000000000003</v>
      </c>
      <c r="J151" s="7">
        <v>12.510999999999999</v>
      </c>
      <c r="K151" s="10">
        <f t="shared" si="20"/>
        <v>14.596336599999999</v>
      </c>
      <c r="L151" s="11">
        <f t="shared" si="21"/>
        <v>1.4729526671675433</v>
      </c>
      <c r="M151" s="11">
        <f t="shared" si="22"/>
        <v>9.5070856438693792</v>
      </c>
      <c r="N151" s="11">
        <f t="shared" si="23"/>
        <v>0.2796802131912059</v>
      </c>
      <c r="O151" s="11">
        <f t="shared" si="24"/>
        <v>7.5301808164525204</v>
      </c>
      <c r="P151" s="8">
        <v>127</v>
      </c>
      <c r="Q151" s="23" t="s">
        <v>45</v>
      </c>
      <c r="R151" s="22" t="s">
        <v>20</v>
      </c>
      <c r="S151" s="22" t="s">
        <v>21</v>
      </c>
    </row>
    <row r="152" spans="1:19" x14ac:dyDescent="0.2">
      <c r="A152" s="13"/>
      <c r="B152" s="18"/>
      <c r="C152" s="15" t="s">
        <v>38</v>
      </c>
      <c r="D152" s="15">
        <v>0.14069999999999999</v>
      </c>
      <c r="E152" s="15">
        <v>3.7490000000000001</v>
      </c>
      <c r="F152" s="15">
        <v>4.6500000000000004</v>
      </c>
      <c r="G152" s="15">
        <v>-28.692</v>
      </c>
      <c r="H152" s="15">
        <v>35.515999999999998</v>
      </c>
      <c r="I152" s="15">
        <v>0.89800000000000002</v>
      </c>
      <c r="J152" s="15">
        <v>5.3579999999999997</v>
      </c>
      <c r="K152" s="16">
        <f t="shared" si="20"/>
        <v>6.5091547999999992</v>
      </c>
      <c r="L152" s="17">
        <f t="shared" si="21"/>
        <v>4.9900450788880546</v>
      </c>
      <c r="M152" s="17">
        <f t="shared" si="22"/>
        <v>60.024645717806528</v>
      </c>
      <c r="N152" s="17">
        <f t="shared" si="23"/>
        <v>0.4442371752165224</v>
      </c>
      <c r="O152" s="17">
        <f t="shared" si="24"/>
        <v>14.033691525898128</v>
      </c>
      <c r="P152" s="18"/>
      <c r="Q152" s="18"/>
      <c r="R152" s="13"/>
      <c r="S152" s="13"/>
    </row>
    <row r="153" spans="1:19" x14ac:dyDescent="0.2">
      <c r="A153" s="5">
        <v>4</v>
      </c>
      <c r="B153" s="8" t="s">
        <v>213</v>
      </c>
      <c r="C153" s="7" t="s">
        <v>214</v>
      </c>
      <c r="D153" s="8">
        <v>4.0899999999999999E-2</v>
      </c>
      <c r="E153" s="7">
        <v>9.0920000000000005</v>
      </c>
      <c r="F153" s="7">
        <v>9.9710000000000001</v>
      </c>
      <c r="G153" s="7">
        <v>-17.12</v>
      </c>
      <c r="H153" s="7">
        <v>31.276</v>
      </c>
      <c r="I153" s="7">
        <v>3.7010000000000001</v>
      </c>
      <c r="J153" s="7">
        <v>15.888999999999999</v>
      </c>
      <c r="K153" s="10">
        <f t="shared" si="20"/>
        <v>18.415503399999999</v>
      </c>
      <c r="L153" s="11">
        <f t="shared" si="21"/>
        <v>9.9872276483846729</v>
      </c>
      <c r="M153" s="11">
        <f t="shared" si="22"/>
        <v>53.493530499075788</v>
      </c>
      <c r="N153" s="11">
        <f t="shared" si="23"/>
        <v>1.3779480346435709</v>
      </c>
      <c r="O153" s="11">
        <f t="shared" si="24"/>
        <v>6.2488931976715714</v>
      </c>
      <c r="P153" s="8">
        <v>43</v>
      </c>
      <c r="Q153" s="23" t="s">
        <v>93</v>
      </c>
      <c r="R153" s="22" t="s">
        <v>94</v>
      </c>
      <c r="S153" s="22" t="s">
        <v>95</v>
      </c>
    </row>
    <row r="154" spans="1:19" x14ac:dyDescent="0.2">
      <c r="A154" s="5">
        <v>4</v>
      </c>
      <c r="B154" s="8" t="s">
        <v>215</v>
      </c>
      <c r="C154" s="7" t="s">
        <v>216</v>
      </c>
      <c r="D154" s="8">
        <v>0.18</v>
      </c>
      <c r="E154" s="7">
        <v>9.2119999999999997</v>
      </c>
      <c r="F154" s="7">
        <v>11.632999999999999</v>
      </c>
      <c r="G154" s="7">
        <v>-17.965</v>
      </c>
      <c r="H154" s="7">
        <v>36.302999999999997</v>
      </c>
      <c r="I154" s="7">
        <v>4.6719999999999997</v>
      </c>
      <c r="J154" s="7">
        <v>16.786000000000001</v>
      </c>
      <c r="K154" s="10">
        <f t="shared" si="20"/>
        <v>19.429651600000003</v>
      </c>
      <c r="L154" s="11">
        <f t="shared" si="21"/>
        <v>11.5480841472577</v>
      </c>
      <c r="M154" s="11">
        <f t="shared" si="22"/>
        <v>61.236906962415276</v>
      </c>
      <c r="N154" s="11">
        <f t="shared" si="23"/>
        <v>1.7013990672884745</v>
      </c>
      <c r="O154" s="11">
        <f t="shared" si="24"/>
        <v>6.1865723536300399</v>
      </c>
      <c r="P154" s="8">
        <v>54</v>
      </c>
      <c r="Q154" s="23" t="s">
        <v>24</v>
      </c>
      <c r="R154" s="22" t="s">
        <v>94</v>
      </c>
      <c r="S154" s="22" t="s">
        <v>95</v>
      </c>
    </row>
    <row r="155" spans="1:19" x14ac:dyDescent="0.2">
      <c r="A155" s="5">
        <v>4</v>
      </c>
      <c r="B155" s="8" t="s">
        <v>217</v>
      </c>
      <c r="C155" s="7" t="s">
        <v>218</v>
      </c>
      <c r="D155" s="8">
        <v>0.16450000000000001</v>
      </c>
      <c r="E155" s="7">
        <v>6.9550000000000001</v>
      </c>
      <c r="F155" s="7">
        <v>6.5819999999999999</v>
      </c>
      <c r="G155" s="7">
        <v>-16.602</v>
      </c>
      <c r="H155" s="7">
        <v>22.808</v>
      </c>
      <c r="I155" s="7">
        <v>1.629</v>
      </c>
      <c r="J155" s="7">
        <v>13.141999999999999</v>
      </c>
      <c r="K155" s="10">
        <f t="shared" si="20"/>
        <v>15.3097452</v>
      </c>
      <c r="L155" s="11">
        <f t="shared" si="21"/>
        <v>6.8044703230653649</v>
      </c>
      <c r="M155" s="11">
        <f t="shared" si="22"/>
        <v>40.449784349969192</v>
      </c>
      <c r="N155" s="11">
        <f t="shared" si="23"/>
        <v>0.68774150566289149</v>
      </c>
      <c r="O155" s="11">
        <f t="shared" si="24"/>
        <v>6.9353546763217668</v>
      </c>
      <c r="P155" s="8">
        <v>60</v>
      </c>
      <c r="Q155" s="23" t="s">
        <v>98</v>
      </c>
      <c r="R155" s="22" t="s">
        <v>94</v>
      </c>
      <c r="S155" s="22" t="s">
        <v>95</v>
      </c>
    </row>
    <row r="156" spans="1:19" x14ac:dyDescent="0.2">
      <c r="A156" s="5">
        <v>4</v>
      </c>
      <c r="B156" s="8" t="s">
        <v>219</v>
      </c>
      <c r="C156" s="7" t="s">
        <v>220</v>
      </c>
      <c r="D156" s="8">
        <v>0.1389</v>
      </c>
      <c r="E156" s="9">
        <v>6.2320000000000002</v>
      </c>
      <c r="F156" s="9">
        <v>0.51300000000000001</v>
      </c>
      <c r="G156" s="24">
        <v>-14.393000000000001</v>
      </c>
      <c r="H156" s="24">
        <v>10.840999999999999</v>
      </c>
      <c r="I156" s="24">
        <v>3.7360000000000002</v>
      </c>
      <c r="J156" s="7">
        <v>19.260999999999999</v>
      </c>
      <c r="K156" s="10">
        <f t="shared" si="20"/>
        <v>22.227886599999998</v>
      </c>
      <c r="L156" s="11">
        <f t="shared" si="21"/>
        <v>1.1048084147257702</v>
      </c>
      <c r="M156" s="11">
        <f t="shared" si="22"/>
        <v>22.016327788046826</v>
      </c>
      <c r="N156" s="11">
        <f t="shared" si="23"/>
        <v>1.3896069287141906</v>
      </c>
      <c r="O156" s="11">
        <f t="shared" si="24"/>
        <v>23.249022554826279</v>
      </c>
      <c r="P156" s="8">
        <v>12</v>
      </c>
      <c r="Q156" s="23" t="s">
        <v>32</v>
      </c>
      <c r="R156" s="22" t="s">
        <v>94</v>
      </c>
      <c r="S156" s="22" t="s">
        <v>95</v>
      </c>
    </row>
    <row r="157" spans="1:19" x14ac:dyDescent="0.2">
      <c r="A157" s="5">
        <v>4</v>
      </c>
      <c r="B157" s="8" t="s">
        <v>221</v>
      </c>
      <c r="C157" s="7" t="s">
        <v>222</v>
      </c>
      <c r="D157" s="8">
        <v>8.3699999999999997E-2</v>
      </c>
      <c r="E157" s="9">
        <v>5.117</v>
      </c>
      <c r="F157" s="9">
        <v>0.749</v>
      </c>
      <c r="G157" s="24">
        <v>-16.518000000000001</v>
      </c>
      <c r="H157" s="24">
        <v>14.255000000000001</v>
      </c>
      <c r="I157" s="24">
        <v>5.2850000000000001</v>
      </c>
      <c r="J157" s="7">
        <v>19.564</v>
      </c>
      <c r="K157" s="10">
        <f t="shared" si="20"/>
        <v>22.5704584</v>
      </c>
      <c r="L157" s="11">
        <f t="shared" si="21"/>
        <v>1.3264462809917354</v>
      </c>
      <c r="M157" s="11">
        <f t="shared" si="22"/>
        <v>27.275107825015404</v>
      </c>
      <c r="N157" s="11">
        <f t="shared" si="23"/>
        <v>1.9055962691538977</v>
      </c>
      <c r="O157" s="11">
        <f t="shared" si="24"/>
        <v>23.989632739136081</v>
      </c>
      <c r="P157" s="8">
        <v>132</v>
      </c>
      <c r="Q157" s="23" t="s">
        <v>19</v>
      </c>
      <c r="R157" s="22" t="s">
        <v>20</v>
      </c>
      <c r="S157" s="22" t="s">
        <v>29</v>
      </c>
    </row>
    <row r="158" spans="1:19" x14ac:dyDescent="0.2">
      <c r="A158" s="5">
        <v>4</v>
      </c>
      <c r="B158" s="8" t="s">
        <v>223</v>
      </c>
      <c r="C158" s="7" t="s">
        <v>224</v>
      </c>
      <c r="D158" s="8">
        <v>7.8799999999999995E-2</v>
      </c>
      <c r="E158" s="9">
        <v>6.6479999999999997</v>
      </c>
      <c r="F158" s="9">
        <v>0.69599999999999995</v>
      </c>
      <c r="G158" s="24">
        <v>-12.941000000000001</v>
      </c>
      <c r="H158" s="24">
        <v>14.58</v>
      </c>
      <c r="I158" s="24">
        <v>4.2060000000000004</v>
      </c>
      <c r="J158" s="7">
        <v>19.376000000000001</v>
      </c>
      <c r="K158" s="10">
        <f t="shared" si="20"/>
        <v>22.357905600000002</v>
      </c>
      <c r="L158" s="11">
        <f t="shared" si="21"/>
        <v>1.276671675432006</v>
      </c>
      <c r="M158" s="11">
        <f t="shared" si="22"/>
        <v>27.775723967960566</v>
      </c>
      <c r="N158" s="11">
        <f t="shared" si="23"/>
        <v>1.5461692205196538</v>
      </c>
      <c r="O158" s="11">
        <f t="shared" si="24"/>
        <v>25.382415792211134</v>
      </c>
      <c r="P158" s="8">
        <v>138</v>
      </c>
      <c r="Q158" s="23" t="s">
        <v>19</v>
      </c>
      <c r="R158" s="22" t="s">
        <v>20</v>
      </c>
      <c r="S158" s="22" t="s">
        <v>21</v>
      </c>
    </row>
    <row r="159" spans="1:19" x14ac:dyDescent="0.2">
      <c r="A159" s="13"/>
      <c r="B159" s="31"/>
      <c r="C159" s="32" t="s">
        <v>38</v>
      </c>
      <c r="D159" s="32">
        <v>0.17180000000000001</v>
      </c>
      <c r="E159" s="32">
        <v>3.528</v>
      </c>
      <c r="F159" s="32">
        <v>5.5190000000000001</v>
      </c>
      <c r="G159" s="32">
        <v>-28.847000000000001</v>
      </c>
      <c r="H159" s="32">
        <v>42.901000000000003</v>
      </c>
      <c r="I159" s="32">
        <v>1.1599999999999999</v>
      </c>
      <c r="J159" s="32">
        <v>5.55</v>
      </c>
      <c r="K159" s="33">
        <f t="shared" si="20"/>
        <v>6.7262299999999993</v>
      </c>
      <c r="L159" s="34">
        <f t="shared" si="21"/>
        <v>5.8061607813673932</v>
      </c>
      <c r="M159" s="34">
        <f t="shared" si="22"/>
        <v>71.400184842883547</v>
      </c>
      <c r="N159" s="34">
        <f t="shared" si="23"/>
        <v>0.53151232511658897</v>
      </c>
      <c r="O159" s="34">
        <f t="shared" si="24"/>
        <v>14.346866851732791</v>
      </c>
      <c r="P159" s="18"/>
      <c r="Q159" s="18"/>
      <c r="R159" s="13"/>
      <c r="S159" s="13"/>
    </row>
    <row r="160" spans="1:19" x14ac:dyDescent="0.2">
      <c r="A160" s="5">
        <v>4</v>
      </c>
      <c r="B160" s="8" t="s">
        <v>225</v>
      </c>
      <c r="C160" s="7" t="s">
        <v>226</v>
      </c>
      <c r="D160" s="8">
        <v>7.4399999999999994E-2</v>
      </c>
      <c r="E160" s="7">
        <v>5.7309999999999999</v>
      </c>
      <c r="F160" s="7">
        <v>0.67400000000000004</v>
      </c>
      <c r="G160" s="7">
        <v>-12.042999999999999</v>
      </c>
      <c r="H160" s="7">
        <v>16.091000000000001</v>
      </c>
      <c r="I160" s="7">
        <v>0.29899999999999999</v>
      </c>
      <c r="J160" s="7">
        <v>8.6319999999999997</v>
      </c>
      <c r="K160" s="10">
        <f t="shared" si="20"/>
        <v>10.210739199999999</v>
      </c>
      <c r="L160" s="11">
        <f t="shared" si="21"/>
        <v>1.2560105184072128</v>
      </c>
      <c r="M160" s="11">
        <f t="shared" si="22"/>
        <v>30.103203943314849</v>
      </c>
      <c r="N160" s="11">
        <f t="shared" si="23"/>
        <v>0.24470353097934711</v>
      </c>
      <c r="O160" s="11">
        <f t="shared" si="24"/>
        <v>27.961871406197535</v>
      </c>
      <c r="P160" s="8">
        <v>128</v>
      </c>
      <c r="Q160" s="23" t="s">
        <v>19</v>
      </c>
      <c r="R160" s="22" t="s">
        <v>20</v>
      </c>
      <c r="S160" s="22" t="s">
        <v>37</v>
      </c>
    </row>
    <row r="161" spans="1:19" x14ac:dyDescent="0.2">
      <c r="A161" s="5">
        <v>4</v>
      </c>
      <c r="B161" s="8" t="s">
        <v>59</v>
      </c>
      <c r="C161" s="7" t="s">
        <v>227</v>
      </c>
      <c r="D161" s="8">
        <v>7.46E-2</v>
      </c>
      <c r="E161" s="7">
        <v>5.5289999999999999</v>
      </c>
      <c r="F161" s="7">
        <v>0.76400000000000001</v>
      </c>
      <c r="G161" s="7">
        <v>-11.601000000000001</v>
      </c>
      <c r="H161" s="7">
        <v>19.041</v>
      </c>
      <c r="I161" s="7">
        <v>0.309</v>
      </c>
      <c r="J161" s="7">
        <v>5.9269999999999996</v>
      </c>
      <c r="K161" s="10">
        <f t="shared" si="20"/>
        <v>7.1524661999999992</v>
      </c>
      <c r="L161" s="11">
        <f t="shared" si="21"/>
        <v>1.3405334335086401</v>
      </c>
      <c r="M161" s="11">
        <f t="shared" si="22"/>
        <v>34.64725816389403</v>
      </c>
      <c r="N161" s="11">
        <f t="shared" si="23"/>
        <v>0.2480346435709527</v>
      </c>
      <c r="O161" s="11">
        <f t="shared" si="24"/>
        <v>30.15351962197008</v>
      </c>
      <c r="P161" s="8">
        <v>116</v>
      </c>
      <c r="Q161" s="23" t="s">
        <v>75</v>
      </c>
      <c r="R161" s="22" t="s">
        <v>20</v>
      </c>
      <c r="S161" s="22" t="s">
        <v>21</v>
      </c>
    </row>
    <row r="162" spans="1:19" x14ac:dyDescent="0.2">
      <c r="A162" s="5">
        <v>4</v>
      </c>
      <c r="B162" s="8" t="s">
        <v>62</v>
      </c>
      <c r="C162" s="7" t="s">
        <v>228</v>
      </c>
      <c r="D162" s="8">
        <v>9.4700000000000006E-2</v>
      </c>
      <c r="E162" s="7">
        <v>5.3339999999999996</v>
      </c>
      <c r="F162" s="7">
        <v>1.698</v>
      </c>
      <c r="G162" s="7">
        <v>-25.094999999999999</v>
      </c>
      <c r="H162" s="7">
        <v>9.3770000000000007</v>
      </c>
      <c r="I162" s="7">
        <v>3.1539999999999999</v>
      </c>
      <c r="J162" s="7">
        <v>18.475999999999999</v>
      </c>
      <c r="K162" s="10">
        <f t="shared" si="20"/>
        <v>21.340365599999998</v>
      </c>
      <c r="L162" s="11">
        <f t="shared" si="21"/>
        <v>2.2176934635612318</v>
      </c>
      <c r="M162" s="11">
        <f t="shared" si="22"/>
        <v>19.76124460874923</v>
      </c>
      <c r="N162" s="11">
        <f t="shared" si="23"/>
        <v>1.1957361758827449</v>
      </c>
      <c r="O162" s="11">
        <f t="shared" si="24"/>
        <v>10.395839531335458</v>
      </c>
      <c r="P162" s="8">
        <v>109</v>
      </c>
      <c r="Q162" s="23" t="s">
        <v>75</v>
      </c>
      <c r="R162" s="22" t="s">
        <v>20</v>
      </c>
      <c r="S162" s="22" t="s">
        <v>29</v>
      </c>
    </row>
    <row r="163" spans="1:19" x14ac:dyDescent="0.2">
      <c r="A163" s="5">
        <v>4</v>
      </c>
      <c r="B163" s="8" t="s">
        <v>64</v>
      </c>
      <c r="C163" s="7" t="s">
        <v>229</v>
      </c>
      <c r="D163" s="8">
        <v>9.4299999999999995E-2</v>
      </c>
      <c r="E163" s="8" t="s">
        <v>230</v>
      </c>
      <c r="F163" s="8" t="s">
        <v>230</v>
      </c>
      <c r="G163" s="8" t="s">
        <v>230</v>
      </c>
      <c r="H163" s="8" t="s">
        <v>230</v>
      </c>
      <c r="I163" s="8" t="s">
        <v>230</v>
      </c>
      <c r="J163" s="8" t="s">
        <v>230</v>
      </c>
      <c r="K163" s="10" t="e">
        <f t="shared" si="20"/>
        <v>#VALUE!</v>
      </c>
      <c r="L163" s="11" t="e">
        <f t="shared" si="21"/>
        <v>#VALUE!</v>
      </c>
      <c r="M163" s="11" t="e">
        <f t="shared" si="22"/>
        <v>#VALUE!</v>
      </c>
      <c r="N163" s="11" t="e">
        <f t="shared" si="23"/>
        <v>#VALUE!</v>
      </c>
      <c r="O163" s="11" t="e">
        <f t="shared" si="24"/>
        <v>#VALUE!</v>
      </c>
      <c r="P163" s="8">
        <v>126</v>
      </c>
      <c r="Q163" s="23" t="s">
        <v>45</v>
      </c>
      <c r="R163" s="22" t="s">
        <v>20</v>
      </c>
      <c r="S163" s="22" t="s">
        <v>21</v>
      </c>
    </row>
    <row r="164" spans="1:19" x14ac:dyDescent="0.2">
      <c r="A164" s="13"/>
      <c r="B164" s="18"/>
      <c r="C164" s="15" t="s">
        <v>38</v>
      </c>
      <c r="D164" s="15">
        <v>0.23930000000000001</v>
      </c>
      <c r="E164" s="15">
        <v>3.681</v>
      </c>
      <c r="F164" s="15">
        <v>7.8769999999999998</v>
      </c>
      <c r="G164" s="15">
        <v>-28.855</v>
      </c>
      <c r="H164" s="15">
        <v>59.981000000000002</v>
      </c>
      <c r="I164" s="15">
        <v>1.744</v>
      </c>
      <c r="J164" s="15">
        <v>5.7229999999999999</v>
      </c>
      <c r="K164" s="16">
        <f t="shared" si="20"/>
        <v>6.9218238000000003</v>
      </c>
      <c r="L164" s="17">
        <f t="shared" si="21"/>
        <v>8.0206611570247937</v>
      </c>
      <c r="M164" s="17">
        <f t="shared" si="22"/>
        <v>97.709488601355517</v>
      </c>
      <c r="N164" s="17">
        <f t="shared" si="23"/>
        <v>0.72604930046635574</v>
      </c>
      <c r="O164" s="17">
        <f t="shared" si="24"/>
        <v>14.212594340605897</v>
      </c>
      <c r="P164" s="18"/>
      <c r="Q164" s="18"/>
      <c r="R164" s="13"/>
      <c r="S164" s="13"/>
    </row>
    <row r="166" spans="1:19" x14ac:dyDescent="0.2">
      <c r="A166" s="1" t="s">
        <v>0</v>
      </c>
      <c r="B166" s="3" t="s">
        <v>1</v>
      </c>
      <c r="C166" s="3" t="s">
        <v>2</v>
      </c>
      <c r="D166" s="3" t="s">
        <v>3</v>
      </c>
      <c r="E166" s="3" t="s">
        <v>4</v>
      </c>
      <c r="F166" s="3" t="s">
        <v>5</v>
      </c>
      <c r="G166" s="3" t="s">
        <v>6</v>
      </c>
      <c r="H166" s="3" t="s">
        <v>5</v>
      </c>
      <c r="I166" s="3" t="s">
        <v>5</v>
      </c>
      <c r="J166" s="3" t="s">
        <v>7</v>
      </c>
      <c r="K166" s="4" t="s">
        <v>8</v>
      </c>
      <c r="L166" s="1" t="s">
        <v>9</v>
      </c>
      <c r="M166" s="1" t="s">
        <v>10</v>
      </c>
      <c r="N166" s="1" t="s">
        <v>11</v>
      </c>
      <c r="O166" s="1" t="s">
        <v>12</v>
      </c>
      <c r="P166" s="1" t="s">
        <v>13</v>
      </c>
      <c r="Q166" s="1" t="s">
        <v>14</v>
      </c>
      <c r="R166" s="1" t="s">
        <v>15</v>
      </c>
      <c r="S166" s="1" t="s">
        <v>16</v>
      </c>
    </row>
    <row r="167" spans="1:19" x14ac:dyDescent="0.2">
      <c r="A167" s="5">
        <v>5</v>
      </c>
      <c r="B167" s="8" t="s">
        <v>79</v>
      </c>
      <c r="C167" s="7" t="s">
        <v>231</v>
      </c>
      <c r="D167" s="8">
        <v>8.9800000000000005E-2</v>
      </c>
      <c r="E167" s="24">
        <v>7.984</v>
      </c>
      <c r="F167" s="24">
        <v>1.7609999999999999</v>
      </c>
      <c r="G167" s="24">
        <v>-11.007999999999999</v>
      </c>
      <c r="H167" s="24">
        <v>18.341000000000001</v>
      </c>
      <c r="I167" s="24">
        <v>0.65300000000000002</v>
      </c>
      <c r="J167" s="24">
        <v>9.2650000000000006</v>
      </c>
      <c r="K167" s="10">
        <f>(J167*1.1473)+0.4514</f>
        <v>11.081134499999999</v>
      </c>
      <c r="L167" s="35">
        <f>(F167+0.1281)/0.9429</f>
        <v>2.0034998409163221</v>
      </c>
      <c r="M167" s="35">
        <f>(H167-0.2341)/0.5383</f>
        <v>33.637191157347203</v>
      </c>
      <c r="N167" s="35">
        <f>(I167+0.6298)/3.2955</f>
        <v>0.38925807919890759</v>
      </c>
      <c r="O167" s="35">
        <f>(M167/12)/(L167/14)</f>
        <v>19.587418417574394</v>
      </c>
      <c r="P167" s="8">
        <v>33</v>
      </c>
      <c r="Q167" s="23" t="s">
        <v>75</v>
      </c>
      <c r="R167" s="22" t="s">
        <v>94</v>
      </c>
      <c r="S167" s="22" t="s">
        <v>95</v>
      </c>
    </row>
    <row r="168" spans="1:19" x14ac:dyDescent="0.2">
      <c r="A168" s="5">
        <v>5</v>
      </c>
      <c r="B168" s="8" t="s">
        <v>81</v>
      </c>
      <c r="C168" s="7" t="s">
        <v>232</v>
      </c>
      <c r="D168" s="8">
        <v>8.5000000000000006E-2</v>
      </c>
      <c r="E168" s="24">
        <v>7.3339999999999996</v>
      </c>
      <c r="F168" s="24">
        <v>1.619</v>
      </c>
      <c r="G168" s="24">
        <v>-12.651</v>
      </c>
      <c r="H168" s="24">
        <v>17.47</v>
      </c>
      <c r="I168" s="24">
        <v>0.34499999999999997</v>
      </c>
      <c r="J168" s="24">
        <v>3.919</v>
      </c>
      <c r="K168" s="10">
        <f t="shared" ref="K168:K177" si="25">(J168*1.1473)+0.4514</f>
        <v>4.9476686999999995</v>
      </c>
      <c r="L168" s="35">
        <f t="shared" ref="L168:L218" si="26">(F168+0.1281)/0.9429</f>
        <v>1.8529006257291336</v>
      </c>
      <c r="M168" s="35">
        <f t="shared" ref="M168:M218" si="27">(H168-0.2341)/0.5383</f>
        <v>32.019134311722084</v>
      </c>
      <c r="N168" s="35">
        <f t="shared" ref="N168:N218" si="28">(I168+0.6298)/3.2955</f>
        <v>0.29579729934759519</v>
      </c>
      <c r="O168" s="35">
        <f t="shared" ref="O168:O224" si="29">(M168/12)/(L168/14)</f>
        <v>20.16063688375587</v>
      </c>
      <c r="P168" s="8">
        <v>34</v>
      </c>
      <c r="Q168" s="23" t="s">
        <v>75</v>
      </c>
      <c r="R168" s="22" t="s">
        <v>94</v>
      </c>
      <c r="S168" s="22" t="s">
        <v>95</v>
      </c>
    </row>
    <row r="169" spans="1:19" x14ac:dyDescent="0.2">
      <c r="A169" s="5">
        <v>5</v>
      </c>
      <c r="B169" s="8" t="s">
        <v>83</v>
      </c>
      <c r="C169" s="7" t="s">
        <v>233</v>
      </c>
      <c r="D169" s="8">
        <v>8.77E-2</v>
      </c>
      <c r="E169" s="24">
        <v>7.5090000000000003</v>
      </c>
      <c r="F169" s="24">
        <v>1.6419999999999999</v>
      </c>
      <c r="G169" s="24">
        <v>-11.173999999999999</v>
      </c>
      <c r="H169" s="24">
        <v>17.803000000000001</v>
      </c>
      <c r="I169" s="24">
        <v>0.36699999999999999</v>
      </c>
      <c r="J169" s="24">
        <v>6.2519999999999998</v>
      </c>
      <c r="K169" s="10">
        <f t="shared" si="25"/>
        <v>7.6243195999999998</v>
      </c>
      <c r="L169" s="35">
        <f t="shared" si="26"/>
        <v>1.8772934563580441</v>
      </c>
      <c r="M169" s="35">
        <f t="shared" si="27"/>
        <v>32.637748467397358</v>
      </c>
      <c r="N169" s="35">
        <f t="shared" si="28"/>
        <v>0.30247306933697465</v>
      </c>
      <c r="O169" s="35">
        <f t="shared" si="29"/>
        <v>20.283122536331547</v>
      </c>
      <c r="P169" s="8">
        <v>35</v>
      </c>
      <c r="Q169" s="23" t="s">
        <v>75</v>
      </c>
      <c r="R169" s="22" t="s">
        <v>94</v>
      </c>
      <c r="S169" s="22" t="s">
        <v>95</v>
      </c>
    </row>
    <row r="170" spans="1:19" x14ac:dyDescent="0.2">
      <c r="A170" s="13"/>
      <c r="B170" s="18"/>
      <c r="C170" s="15" t="s">
        <v>38</v>
      </c>
      <c r="D170" s="15">
        <v>0.25340000000000001</v>
      </c>
      <c r="E170" s="15">
        <v>4.3390000000000004</v>
      </c>
      <c r="F170" s="15">
        <v>9.8810000000000002</v>
      </c>
      <c r="G170" s="15">
        <v>-28.859000000000002</v>
      </c>
      <c r="H170" s="15">
        <v>63.59</v>
      </c>
      <c r="I170" s="15">
        <v>1.9530000000000001</v>
      </c>
      <c r="J170" s="15">
        <v>5.9470000000000001</v>
      </c>
      <c r="K170" s="16">
        <f t="shared" si="25"/>
        <v>7.2743930999999993</v>
      </c>
      <c r="L170" s="17">
        <f t="shared" si="26"/>
        <v>10.615229610775268</v>
      </c>
      <c r="M170" s="17">
        <f t="shared" si="27"/>
        <v>117.69626602266395</v>
      </c>
      <c r="N170" s="17">
        <f t="shared" si="28"/>
        <v>0.78373539675314829</v>
      </c>
      <c r="O170" s="17">
        <f t="shared" si="29"/>
        <v>12.93540652388641</v>
      </c>
      <c r="P170" s="18"/>
      <c r="Q170" s="18"/>
      <c r="R170" s="13"/>
      <c r="S170" s="13"/>
    </row>
    <row r="171" spans="1:19" x14ac:dyDescent="0.2">
      <c r="A171" s="5">
        <v>5</v>
      </c>
      <c r="B171" s="8" t="s">
        <v>85</v>
      </c>
      <c r="C171" s="7" t="s">
        <v>234</v>
      </c>
      <c r="D171" s="8">
        <v>9.4700000000000006E-2</v>
      </c>
      <c r="E171" s="24">
        <v>8.4529999999999994</v>
      </c>
      <c r="F171" s="24">
        <v>1.7010000000000001</v>
      </c>
      <c r="G171" s="24">
        <v>-11.351000000000001</v>
      </c>
      <c r="H171" s="24">
        <v>19.773</v>
      </c>
      <c r="I171" s="24">
        <v>0.35199999999999998</v>
      </c>
      <c r="J171" s="24">
        <v>1.4279999999999999</v>
      </c>
      <c r="K171" s="10">
        <f t="shared" si="25"/>
        <v>2.0897443999999998</v>
      </c>
      <c r="L171" s="35">
        <f t="shared" si="26"/>
        <v>1.9398663697104677</v>
      </c>
      <c r="M171" s="35">
        <f t="shared" si="27"/>
        <v>36.297417796767597</v>
      </c>
      <c r="N171" s="35">
        <f t="shared" si="28"/>
        <v>0.29792140798057959</v>
      </c>
      <c r="O171" s="35">
        <f t="shared" si="29"/>
        <v>21.829847710532064</v>
      </c>
      <c r="P171" s="8">
        <v>36</v>
      </c>
      <c r="Q171" s="23" t="s">
        <v>75</v>
      </c>
      <c r="R171" s="22" t="s">
        <v>94</v>
      </c>
      <c r="S171" s="22" t="s">
        <v>95</v>
      </c>
    </row>
    <row r="172" spans="1:19" x14ac:dyDescent="0.2">
      <c r="A172" s="5">
        <v>5</v>
      </c>
      <c r="B172" s="8" t="s">
        <v>87</v>
      </c>
      <c r="C172" s="7" t="s">
        <v>235</v>
      </c>
      <c r="D172" s="8">
        <v>0.1087</v>
      </c>
      <c r="E172" s="9">
        <v>6.5209999999999999</v>
      </c>
      <c r="F172" s="9">
        <v>1.2969999999999999</v>
      </c>
      <c r="G172" s="24">
        <v>-11.715999999999999</v>
      </c>
      <c r="H172" s="24">
        <v>22.228000000000002</v>
      </c>
      <c r="I172" s="24">
        <v>0.39400000000000002</v>
      </c>
      <c r="J172" s="24">
        <v>7.6820000000000004</v>
      </c>
      <c r="K172" s="10">
        <f t="shared" si="25"/>
        <v>9.2649585999999999</v>
      </c>
      <c r="L172" s="36">
        <f t="shared" si="26"/>
        <v>1.5114009969243822</v>
      </c>
      <c r="M172" s="35">
        <f t="shared" si="27"/>
        <v>40.858071707226451</v>
      </c>
      <c r="N172" s="35">
        <f t="shared" si="28"/>
        <v>0.31066605977848583</v>
      </c>
      <c r="O172" s="36">
        <f t="shared" si="29"/>
        <v>31.538784493393063</v>
      </c>
      <c r="P172" s="8">
        <v>105</v>
      </c>
      <c r="Q172" s="23" t="s">
        <v>75</v>
      </c>
      <c r="R172" s="22" t="s">
        <v>20</v>
      </c>
      <c r="S172" s="22" t="s">
        <v>37</v>
      </c>
    </row>
    <row r="173" spans="1:19" x14ac:dyDescent="0.2">
      <c r="A173" s="5">
        <v>5</v>
      </c>
      <c r="B173" s="8" t="s">
        <v>89</v>
      </c>
      <c r="C173" s="7" t="s">
        <v>236</v>
      </c>
      <c r="D173" s="8">
        <v>7.7200000000000005E-2</v>
      </c>
      <c r="E173" s="9">
        <v>5.7240000000000002</v>
      </c>
      <c r="F173" s="9">
        <v>0.64300000000000002</v>
      </c>
      <c r="G173" s="24">
        <v>-11.505000000000001</v>
      </c>
      <c r="H173" s="24">
        <v>11.728999999999999</v>
      </c>
      <c r="I173" s="12" t="s">
        <v>237</v>
      </c>
      <c r="J173" s="9"/>
      <c r="K173" s="10"/>
      <c r="L173" s="36">
        <f t="shared" si="26"/>
        <v>0.8177961607805706</v>
      </c>
      <c r="M173" s="35">
        <f t="shared" si="27"/>
        <v>21.354077651866987</v>
      </c>
      <c r="N173" s="36" t="e">
        <f t="shared" si="28"/>
        <v>#VALUE!</v>
      </c>
      <c r="O173" s="36">
        <f t="shared" si="29"/>
        <v>30.463692284964701</v>
      </c>
      <c r="P173" s="8">
        <v>106</v>
      </c>
      <c r="Q173" s="23" t="s">
        <v>75</v>
      </c>
      <c r="R173" s="22" t="s">
        <v>20</v>
      </c>
      <c r="S173" s="22" t="s">
        <v>37</v>
      </c>
    </row>
    <row r="174" spans="1:19" x14ac:dyDescent="0.2">
      <c r="A174" s="5">
        <v>5</v>
      </c>
      <c r="B174" s="8" t="s">
        <v>91</v>
      </c>
      <c r="C174" s="7" t="s">
        <v>238</v>
      </c>
      <c r="D174" s="8">
        <v>8.6699999999999999E-2</v>
      </c>
      <c r="E174" s="9">
        <v>5.9729999999999999</v>
      </c>
      <c r="F174" s="9">
        <v>1.0629999999999999</v>
      </c>
      <c r="G174" s="24">
        <v>-12</v>
      </c>
      <c r="H174" s="24">
        <v>21.23</v>
      </c>
      <c r="I174" s="24">
        <v>0.34399999999999997</v>
      </c>
      <c r="J174" s="24">
        <v>5.6219999999999999</v>
      </c>
      <c r="K174" s="10">
        <f t="shared" si="25"/>
        <v>6.9015205999999996</v>
      </c>
      <c r="L174" s="36">
        <f t="shared" si="26"/>
        <v>1.2632304592215506</v>
      </c>
      <c r="M174" s="35">
        <f t="shared" si="27"/>
        <v>39.00408694036782</v>
      </c>
      <c r="N174" s="35">
        <f t="shared" si="28"/>
        <v>0.29549385525716887</v>
      </c>
      <c r="O174" s="36">
        <f t="shared" si="29"/>
        <v>36.022538694275561</v>
      </c>
      <c r="P174" s="8">
        <v>107</v>
      </c>
      <c r="Q174" s="23" t="s">
        <v>75</v>
      </c>
      <c r="R174" s="22" t="s">
        <v>20</v>
      </c>
      <c r="S174" s="22" t="s">
        <v>37</v>
      </c>
    </row>
    <row r="175" spans="1:19" x14ac:dyDescent="0.2">
      <c r="A175" s="5">
        <v>5</v>
      </c>
      <c r="B175" s="8" t="s">
        <v>96</v>
      </c>
      <c r="C175" s="7" t="s">
        <v>239</v>
      </c>
      <c r="D175" s="8">
        <v>0.1021</v>
      </c>
      <c r="E175" s="9">
        <v>5.8479999999999999</v>
      </c>
      <c r="F175" s="9">
        <v>1.0640000000000001</v>
      </c>
      <c r="G175" s="24">
        <v>-10.685</v>
      </c>
      <c r="H175" s="24">
        <v>21.064</v>
      </c>
      <c r="I175" s="24">
        <v>0.36199999999999999</v>
      </c>
      <c r="J175" s="24">
        <v>7.6840000000000002</v>
      </c>
      <c r="K175" s="10">
        <f t="shared" si="25"/>
        <v>9.267253199999999</v>
      </c>
      <c r="L175" s="36">
        <f t="shared" si="26"/>
        <v>1.2642910170749815</v>
      </c>
      <c r="M175" s="35">
        <f t="shared" si="27"/>
        <v>38.695708712613779</v>
      </c>
      <c r="N175" s="35">
        <f t="shared" si="28"/>
        <v>0.30095584888484295</v>
      </c>
      <c r="O175" s="36">
        <f t="shared" si="29"/>
        <v>35.707754692820053</v>
      </c>
      <c r="P175" s="8">
        <v>110</v>
      </c>
      <c r="Q175" s="23" t="s">
        <v>75</v>
      </c>
      <c r="R175" s="22" t="s">
        <v>20</v>
      </c>
      <c r="S175" s="22" t="s">
        <v>29</v>
      </c>
    </row>
    <row r="176" spans="1:19" x14ac:dyDescent="0.2">
      <c r="A176" s="5">
        <v>5</v>
      </c>
      <c r="B176" s="8" t="s">
        <v>99</v>
      </c>
      <c r="C176" s="7" t="s">
        <v>240</v>
      </c>
      <c r="D176" s="8">
        <v>0.1118</v>
      </c>
      <c r="E176" s="9">
        <v>5.484</v>
      </c>
      <c r="F176" s="9">
        <v>0.84</v>
      </c>
      <c r="G176" s="24">
        <v>-12.27</v>
      </c>
      <c r="H176" s="24">
        <v>15.147</v>
      </c>
      <c r="I176" s="24">
        <v>0.29499999999999998</v>
      </c>
      <c r="J176" s="24">
        <v>6.2640000000000002</v>
      </c>
      <c r="K176" s="10">
        <f t="shared" si="25"/>
        <v>7.6380872000000011</v>
      </c>
      <c r="L176" s="36">
        <f t="shared" si="26"/>
        <v>1.0267260579064588</v>
      </c>
      <c r="M176" s="35">
        <f t="shared" si="27"/>
        <v>27.703696823332717</v>
      </c>
      <c r="N176" s="35">
        <f t="shared" si="28"/>
        <v>0.28062509482627829</v>
      </c>
      <c r="O176" s="36">
        <f t="shared" si="29"/>
        <v>31.479652608725498</v>
      </c>
      <c r="P176" s="8">
        <v>111</v>
      </c>
      <c r="Q176" s="23" t="s">
        <v>75</v>
      </c>
      <c r="R176" s="22" t="s">
        <v>20</v>
      </c>
      <c r="S176" s="22" t="s">
        <v>29</v>
      </c>
    </row>
    <row r="177" spans="1:19" x14ac:dyDescent="0.2">
      <c r="A177" s="13"/>
      <c r="B177" s="18"/>
      <c r="C177" s="15" t="s">
        <v>38</v>
      </c>
      <c r="D177" s="15">
        <v>0.1057</v>
      </c>
      <c r="E177" s="15">
        <v>3.5529999999999999</v>
      </c>
      <c r="F177" s="15">
        <v>1.7250000000000001</v>
      </c>
      <c r="G177" s="15">
        <v>-29.210999999999999</v>
      </c>
      <c r="H177" s="15">
        <v>12.548</v>
      </c>
      <c r="I177" s="15">
        <v>0.309</v>
      </c>
      <c r="J177" s="15">
        <v>5.0990000000000002</v>
      </c>
      <c r="K177" s="16">
        <f t="shared" si="25"/>
        <v>6.3014826999999993</v>
      </c>
      <c r="L177" s="17">
        <f t="shared" si="26"/>
        <v>1.9653197581928095</v>
      </c>
      <c r="M177" s="37">
        <f t="shared" si="27"/>
        <v>22.875534088798069</v>
      </c>
      <c r="N177" s="17">
        <f t="shared" si="28"/>
        <v>0.28487331209224703</v>
      </c>
      <c r="O177" s="17">
        <f t="shared" si="29"/>
        <v>13.579532283407435</v>
      </c>
      <c r="P177" s="18"/>
      <c r="Q177" s="18"/>
      <c r="R177" s="13"/>
      <c r="S177" s="13"/>
    </row>
    <row r="178" spans="1:19" x14ac:dyDescent="0.2">
      <c r="A178" s="5">
        <v>5</v>
      </c>
      <c r="B178" s="8" t="s">
        <v>30</v>
      </c>
      <c r="C178" s="7" t="s">
        <v>241</v>
      </c>
      <c r="D178" s="8">
        <v>8.4500000000000006E-2</v>
      </c>
      <c r="E178" s="9">
        <v>5.1319999999999997</v>
      </c>
      <c r="F178" s="9">
        <v>1.266</v>
      </c>
      <c r="G178" s="24">
        <v>-11.647</v>
      </c>
      <c r="H178" s="24">
        <v>23.888000000000002</v>
      </c>
      <c r="I178" s="24">
        <v>0.435</v>
      </c>
      <c r="J178" s="24">
        <v>5.7050000000000001</v>
      </c>
      <c r="K178" s="10">
        <f t="shared" ref="K178:K218" si="30">(J178*1.1473)-0.5045</f>
        <v>6.0408464999999998</v>
      </c>
      <c r="L178" s="36">
        <f t="shared" si="26"/>
        <v>1.4785237034680241</v>
      </c>
      <c r="M178" s="35">
        <f t="shared" si="27"/>
        <v>43.941853984766858</v>
      </c>
      <c r="N178" s="35">
        <f t="shared" si="28"/>
        <v>0.32310726748596569</v>
      </c>
      <c r="O178" s="36">
        <f t="shared" si="29"/>
        <v>34.673435532560639</v>
      </c>
      <c r="P178" s="8">
        <v>112</v>
      </c>
      <c r="Q178" s="23" t="s">
        <v>75</v>
      </c>
      <c r="R178" s="22" t="s">
        <v>20</v>
      </c>
      <c r="S178" s="22" t="s">
        <v>29</v>
      </c>
    </row>
    <row r="179" spans="1:19" x14ac:dyDescent="0.2">
      <c r="A179" s="5">
        <v>5</v>
      </c>
      <c r="B179" s="8" t="s">
        <v>33</v>
      </c>
      <c r="C179" s="7" t="s">
        <v>242</v>
      </c>
      <c r="D179" s="8">
        <v>7.7700000000000005E-2</v>
      </c>
      <c r="E179" s="9">
        <v>5.915</v>
      </c>
      <c r="F179" s="9">
        <v>0.88600000000000001</v>
      </c>
      <c r="G179" s="24">
        <v>-10.878</v>
      </c>
      <c r="H179" s="24">
        <v>15.879</v>
      </c>
      <c r="I179" s="24">
        <v>0.33500000000000002</v>
      </c>
      <c r="J179" s="24">
        <v>7.4329999999999998</v>
      </c>
      <c r="K179" s="10">
        <f t="shared" si="30"/>
        <v>8.0233808999999994</v>
      </c>
      <c r="L179" s="36">
        <f t="shared" si="26"/>
        <v>1.0755117191642805</v>
      </c>
      <c r="M179" s="35">
        <f t="shared" si="27"/>
        <v>29.063533345718</v>
      </c>
      <c r="N179" s="35">
        <f t="shared" si="28"/>
        <v>0.29276285844333183</v>
      </c>
      <c r="O179" s="36">
        <f t="shared" si="29"/>
        <v>31.526811810430022</v>
      </c>
      <c r="P179" s="8">
        <v>113</v>
      </c>
      <c r="Q179" s="23" t="s">
        <v>75</v>
      </c>
      <c r="R179" s="22" t="s">
        <v>20</v>
      </c>
      <c r="S179" s="22" t="s">
        <v>21</v>
      </c>
    </row>
    <row r="180" spans="1:19" x14ac:dyDescent="0.2">
      <c r="A180" s="5">
        <v>5</v>
      </c>
      <c r="B180" s="8" t="s">
        <v>35</v>
      </c>
      <c r="C180" s="7" t="s">
        <v>243</v>
      </c>
      <c r="D180" s="8">
        <v>8.8800000000000004E-2</v>
      </c>
      <c r="E180" s="9">
        <v>6.5860000000000003</v>
      </c>
      <c r="F180" s="9">
        <v>1.0509999999999999</v>
      </c>
      <c r="G180" s="24">
        <v>-10.257</v>
      </c>
      <c r="H180" s="24">
        <v>18.308</v>
      </c>
      <c r="I180" s="24">
        <v>0.39300000000000002</v>
      </c>
      <c r="J180" s="24">
        <v>9.0470000000000006</v>
      </c>
      <c r="K180" s="10">
        <f t="shared" si="30"/>
        <v>9.8751230999999997</v>
      </c>
      <c r="L180" s="36">
        <f t="shared" si="26"/>
        <v>1.2505037649803799</v>
      </c>
      <c r="M180" s="35">
        <f t="shared" si="27"/>
        <v>33.575887051829831</v>
      </c>
      <c r="N180" s="35">
        <f t="shared" si="28"/>
        <v>0.31036261568805951</v>
      </c>
      <c r="O180" s="36">
        <f t="shared" si="29"/>
        <v>31.324870283576796</v>
      </c>
      <c r="P180" s="8">
        <v>114</v>
      </c>
      <c r="Q180" s="23" t="s">
        <v>75</v>
      </c>
      <c r="R180" s="22" t="s">
        <v>20</v>
      </c>
      <c r="S180" s="22" t="s">
        <v>21</v>
      </c>
    </row>
    <row r="181" spans="1:19" x14ac:dyDescent="0.2">
      <c r="A181" s="5">
        <v>5</v>
      </c>
      <c r="B181" s="8" t="s">
        <v>104</v>
      </c>
      <c r="C181" s="7" t="s">
        <v>244</v>
      </c>
      <c r="D181" s="8">
        <v>0.1202</v>
      </c>
      <c r="E181" s="9">
        <v>7.2869999999999999</v>
      </c>
      <c r="F181" s="9">
        <v>1.109</v>
      </c>
      <c r="G181" s="24">
        <v>-12.54</v>
      </c>
      <c r="H181" s="24">
        <v>20.219000000000001</v>
      </c>
      <c r="I181" s="24">
        <v>0.33900000000000002</v>
      </c>
      <c r="J181" s="24">
        <v>6.55</v>
      </c>
      <c r="K181" s="10">
        <f t="shared" si="30"/>
        <v>7.0103149999999994</v>
      </c>
      <c r="L181" s="36">
        <f t="shared" si="26"/>
        <v>1.3120161204793721</v>
      </c>
      <c r="M181" s="35">
        <f t="shared" si="27"/>
        <v>37.125952071335689</v>
      </c>
      <c r="N181" s="35">
        <f t="shared" si="28"/>
        <v>0.29397663480503722</v>
      </c>
      <c r="O181" s="36">
        <f t="shared" si="29"/>
        <v>33.013017198345189</v>
      </c>
      <c r="P181" s="8">
        <v>115</v>
      </c>
      <c r="Q181" s="23" t="s">
        <v>75</v>
      </c>
      <c r="R181" s="22" t="s">
        <v>20</v>
      </c>
      <c r="S181" s="22" t="s">
        <v>21</v>
      </c>
    </row>
    <row r="182" spans="1:19" x14ac:dyDescent="0.2">
      <c r="A182" s="5">
        <v>5</v>
      </c>
      <c r="B182" s="8" t="s">
        <v>106</v>
      </c>
      <c r="C182" s="7" t="s">
        <v>245</v>
      </c>
      <c r="D182" s="8">
        <v>9.6699999999999994E-2</v>
      </c>
      <c r="E182" s="9">
        <v>6.6950000000000003</v>
      </c>
      <c r="F182" s="9">
        <v>0.875</v>
      </c>
      <c r="G182" s="24">
        <v>-12.234</v>
      </c>
      <c r="H182" s="24">
        <v>19.303999999999998</v>
      </c>
      <c r="I182" s="24">
        <v>0.35699999999999998</v>
      </c>
      <c r="J182" s="24">
        <v>9.2080000000000002</v>
      </c>
      <c r="K182" s="10">
        <f t="shared" si="30"/>
        <v>10.0598384</v>
      </c>
      <c r="L182" s="36">
        <f t="shared" si="26"/>
        <v>1.0638455827765403</v>
      </c>
      <c r="M182" s="35">
        <f t="shared" si="27"/>
        <v>35.426156418354068</v>
      </c>
      <c r="N182" s="35">
        <f t="shared" si="28"/>
        <v>0.29943862843271124</v>
      </c>
      <c r="O182" s="36">
        <f t="shared" si="29"/>
        <v>38.850108033107766</v>
      </c>
      <c r="P182" s="8">
        <v>116</v>
      </c>
      <c r="Q182" s="23" t="s">
        <v>75</v>
      </c>
      <c r="R182" s="22" t="s">
        <v>20</v>
      </c>
      <c r="S182" s="22" t="s">
        <v>21</v>
      </c>
    </row>
    <row r="183" spans="1:19" x14ac:dyDescent="0.2">
      <c r="A183" s="5">
        <v>5</v>
      </c>
      <c r="B183" s="8" t="s">
        <v>108</v>
      </c>
      <c r="C183" s="7" t="s">
        <v>246</v>
      </c>
      <c r="D183" s="8">
        <v>0.2014</v>
      </c>
      <c r="E183" s="7">
        <v>6.5049999999999999</v>
      </c>
      <c r="F183" s="7">
        <v>6.1260000000000003</v>
      </c>
      <c r="G183" s="7">
        <v>-24.077000000000002</v>
      </c>
      <c r="H183" s="7">
        <v>43.488999999999997</v>
      </c>
      <c r="I183" s="38">
        <v>13.396000000000001</v>
      </c>
      <c r="J183" s="38">
        <v>-73.885000000000005</v>
      </c>
      <c r="K183" s="39">
        <f t="shared" si="30"/>
        <v>-85.272760500000004</v>
      </c>
      <c r="L183" s="11">
        <f t="shared" si="26"/>
        <v>6.6328348711422214</v>
      </c>
      <c r="M183" s="35">
        <f t="shared" si="27"/>
        <v>80.354634961917142</v>
      </c>
      <c r="N183" s="11">
        <f t="shared" si="28"/>
        <v>4.2560461235017444</v>
      </c>
      <c r="O183" s="11">
        <f t="shared" si="29"/>
        <v>14.133786826219113</v>
      </c>
      <c r="P183" s="8">
        <v>117</v>
      </c>
      <c r="Q183" s="23" t="s">
        <v>45</v>
      </c>
      <c r="R183" s="22" t="s">
        <v>20</v>
      </c>
      <c r="S183" s="22" t="s">
        <v>37</v>
      </c>
    </row>
    <row r="184" spans="1:19" x14ac:dyDescent="0.2">
      <c r="A184" s="13"/>
      <c r="B184" s="18"/>
      <c r="C184" s="15" t="s">
        <v>38</v>
      </c>
      <c r="D184" s="15">
        <v>0.17330000000000001</v>
      </c>
      <c r="E184" s="15">
        <v>3.7839999999999998</v>
      </c>
      <c r="F184" s="15">
        <v>5.0339999999999998</v>
      </c>
      <c r="G184" s="15">
        <v>-29.123000000000001</v>
      </c>
      <c r="H184" s="15">
        <v>35.975000000000001</v>
      </c>
      <c r="I184" s="15">
        <v>1.133</v>
      </c>
      <c r="J184" s="15">
        <v>6.431</v>
      </c>
      <c r="K184" s="16">
        <f t="shared" si="30"/>
        <v>6.8737862999999999</v>
      </c>
      <c r="L184" s="17">
        <f t="shared" si="26"/>
        <v>5.4747056951956727</v>
      </c>
      <c r="M184" s="17">
        <f t="shared" si="27"/>
        <v>66.395875905628841</v>
      </c>
      <c r="N184" s="17">
        <f t="shared" si="28"/>
        <v>0.53491124260355027</v>
      </c>
      <c r="O184" s="17">
        <f t="shared" si="29"/>
        <v>14.149044631058487</v>
      </c>
      <c r="P184" s="18"/>
      <c r="Q184" s="18"/>
      <c r="R184" s="13"/>
      <c r="S184" s="13"/>
    </row>
    <row r="185" spans="1:19" x14ac:dyDescent="0.2">
      <c r="A185" s="5">
        <v>5</v>
      </c>
      <c r="B185" s="8" t="s">
        <v>110</v>
      </c>
      <c r="C185" s="7" t="s">
        <v>247</v>
      </c>
      <c r="D185" s="8">
        <v>0.16089999999999999</v>
      </c>
      <c r="E185" s="7">
        <v>7.0339999999999998</v>
      </c>
      <c r="F185" s="7">
        <v>6.7249999999999996</v>
      </c>
      <c r="G185" s="7">
        <v>-26.158000000000001</v>
      </c>
      <c r="H185" s="7">
        <v>26.893999999999998</v>
      </c>
      <c r="I185" s="9">
        <v>8.1989999999999998</v>
      </c>
      <c r="J185" s="9">
        <v>20.076000000000001</v>
      </c>
      <c r="K185" s="10">
        <f t="shared" si="30"/>
        <v>22.5286948</v>
      </c>
      <c r="L185" s="11">
        <f t="shared" si="26"/>
        <v>7.2681090253473322</v>
      </c>
      <c r="M185" s="11">
        <f t="shared" si="27"/>
        <v>49.526100687349057</v>
      </c>
      <c r="N185" s="11">
        <f t="shared" si="28"/>
        <v>2.6790471855560609</v>
      </c>
      <c r="O185" s="11">
        <f t="shared" si="29"/>
        <v>7.9498602181667186</v>
      </c>
      <c r="P185" s="8">
        <v>118</v>
      </c>
      <c r="Q185" s="23" t="s">
        <v>45</v>
      </c>
      <c r="R185" s="22" t="s">
        <v>20</v>
      </c>
      <c r="S185" s="22" t="s">
        <v>37</v>
      </c>
    </row>
    <row r="186" spans="1:19" x14ac:dyDescent="0.2">
      <c r="A186" s="5">
        <v>5</v>
      </c>
      <c r="B186" s="8" t="s">
        <v>112</v>
      </c>
      <c r="C186" s="7" t="s">
        <v>248</v>
      </c>
      <c r="D186" s="8">
        <v>0.20319999999999999</v>
      </c>
      <c r="E186" s="7">
        <v>6.9240000000000004</v>
      </c>
      <c r="F186" s="7">
        <v>10.391</v>
      </c>
      <c r="G186" s="7">
        <v>-24.713000000000001</v>
      </c>
      <c r="H186" s="7">
        <v>54.170999999999999</v>
      </c>
      <c r="I186" s="38">
        <v>13.464</v>
      </c>
      <c r="J186" s="38">
        <v>-76.343000000000004</v>
      </c>
      <c r="K186" s="39">
        <f t="shared" si="30"/>
        <v>-88.092823899999999</v>
      </c>
      <c r="L186" s="11">
        <f t="shared" si="26"/>
        <v>11.15611411602503</v>
      </c>
      <c r="M186" s="11">
        <f t="shared" si="27"/>
        <v>100.19858814787294</v>
      </c>
      <c r="N186" s="11">
        <f t="shared" si="28"/>
        <v>4.2766803216507361</v>
      </c>
      <c r="O186" s="11">
        <f t="shared" si="29"/>
        <v>10.478411355730778</v>
      </c>
      <c r="P186" s="8">
        <v>119</v>
      </c>
      <c r="Q186" s="23" t="s">
        <v>45</v>
      </c>
      <c r="R186" s="22" t="s">
        <v>20</v>
      </c>
      <c r="S186" s="22" t="s">
        <v>37</v>
      </c>
    </row>
    <row r="187" spans="1:19" x14ac:dyDescent="0.2">
      <c r="A187" s="5">
        <v>5</v>
      </c>
      <c r="B187" s="8" t="s">
        <v>114</v>
      </c>
      <c r="C187" s="7" t="s">
        <v>249</v>
      </c>
      <c r="D187" s="8">
        <v>7.0099999999999996E-2</v>
      </c>
      <c r="E187" s="7">
        <v>8.9909999999999997</v>
      </c>
      <c r="F187" s="7">
        <v>3.5739999999999998</v>
      </c>
      <c r="G187" s="7">
        <v>-18.274000000000001</v>
      </c>
      <c r="H187" s="7">
        <v>10.151999999999999</v>
      </c>
      <c r="I187" s="7">
        <v>1.018</v>
      </c>
      <c r="J187" s="7">
        <v>14.38</v>
      </c>
      <c r="K187" s="10">
        <f t="shared" si="30"/>
        <v>15.993674000000002</v>
      </c>
      <c r="L187" s="11">
        <f t="shared" si="26"/>
        <v>3.9262912291865519</v>
      </c>
      <c r="M187" s="11">
        <f t="shared" si="27"/>
        <v>18.424484488203603</v>
      </c>
      <c r="N187" s="11">
        <f t="shared" si="28"/>
        <v>0.5000151722045213</v>
      </c>
      <c r="O187" s="11">
        <f t="shared" si="29"/>
        <v>5.474691164811424</v>
      </c>
      <c r="P187" s="8">
        <v>169</v>
      </c>
      <c r="Q187" s="23" t="s">
        <v>169</v>
      </c>
      <c r="R187" s="22" t="s">
        <v>20</v>
      </c>
      <c r="S187" s="22" t="s">
        <v>29</v>
      </c>
    </row>
    <row r="188" spans="1:19" x14ac:dyDescent="0.2">
      <c r="A188" s="5">
        <v>5</v>
      </c>
      <c r="B188" s="8" t="s">
        <v>117</v>
      </c>
      <c r="C188" s="7" t="s">
        <v>250</v>
      </c>
      <c r="D188" s="8">
        <v>0.1053</v>
      </c>
      <c r="E188" s="7">
        <v>8.9619999999999997</v>
      </c>
      <c r="F188" s="7">
        <v>6.234</v>
      </c>
      <c r="G188" s="7">
        <v>-20.952000000000002</v>
      </c>
      <c r="H188" s="7">
        <v>15.62</v>
      </c>
      <c r="I188" s="7">
        <v>1.796</v>
      </c>
      <c r="J188" s="7">
        <v>15.151999999999999</v>
      </c>
      <c r="K188" s="10">
        <f t="shared" si="30"/>
        <v>16.8793896</v>
      </c>
      <c r="L188" s="11">
        <f t="shared" si="26"/>
        <v>6.7473751193127587</v>
      </c>
      <c r="M188" s="11">
        <f t="shared" si="27"/>
        <v>28.58238900241501</v>
      </c>
      <c r="N188" s="11">
        <f t="shared" si="28"/>
        <v>0.73609467455621302</v>
      </c>
      <c r="O188" s="11">
        <f t="shared" si="29"/>
        <v>4.9420878361086169</v>
      </c>
      <c r="P188" s="8">
        <v>166</v>
      </c>
      <c r="Q188" s="23" t="s">
        <v>169</v>
      </c>
      <c r="R188" s="22" t="s">
        <v>20</v>
      </c>
      <c r="S188" s="22" t="s">
        <v>37</v>
      </c>
    </row>
    <row r="189" spans="1:19" x14ac:dyDescent="0.2">
      <c r="A189" s="5">
        <v>5</v>
      </c>
      <c r="B189" s="8" t="s">
        <v>119</v>
      </c>
      <c r="C189" s="7" t="s">
        <v>251</v>
      </c>
      <c r="D189" s="8">
        <v>8.7900000000000006E-2</v>
      </c>
      <c r="E189" s="7">
        <v>9.1110000000000007</v>
      </c>
      <c r="F189" s="7">
        <v>3.2149999999999999</v>
      </c>
      <c r="G189" s="7">
        <v>-16.696999999999999</v>
      </c>
      <c r="H189" s="7">
        <v>10.115</v>
      </c>
      <c r="I189" s="7">
        <v>1.117</v>
      </c>
      <c r="J189" s="7">
        <v>14.372</v>
      </c>
      <c r="K189" s="10">
        <f t="shared" si="30"/>
        <v>15.984495599999999</v>
      </c>
      <c r="L189" s="11">
        <f t="shared" si="26"/>
        <v>3.5455509598048573</v>
      </c>
      <c r="M189" s="11">
        <f t="shared" si="27"/>
        <v>18.355749582017463</v>
      </c>
      <c r="N189" s="11">
        <f t="shared" si="28"/>
        <v>0.53005613715672883</v>
      </c>
      <c r="O189" s="11">
        <f t="shared" si="29"/>
        <v>6.039975569889716</v>
      </c>
      <c r="P189" s="8">
        <v>168</v>
      </c>
      <c r="Q189" s="23" t="s">
        <v>169</v>
      </c>
      <c r="R189" s="22" t="s">
        <v>20</v>
      </c>
      <c r="S189" s="22" t="s">
        <v>29</v>
      </c>
    </row>
    <row r="190" spans="1:19" x14ac:dyDescent="0.2">
      <c r="A190" s="5">
        <v>5</v>
      </c>
      <c r="B190" s="8" t="s">
        <v>121</v>
      </c>
      <c r="C190" s="7" t="s">
        <v>252</v>
      </c>
      <c r="D190" s="8">
        <v>0.111</v>
      </c>
      <c r="E190" s="7">
        <v>8.6140000000000008</v>
      </c>
      <c r="F190" s="7">
        <v>3.98</v>
      </c>
      <c r="G190" s="7">
        <v>-16.439</v>
      </c>
      <c r="H190" s="7">
        <v>10.315</v>
      </c>
      <c r="I190" s="7">
        <v>1.2350000000000001</v>
      </c>
      <c r="J190" s="7">
        <v>12.026</v>
      </c>
      <c r="K190" s="10">
        <f t="shared" si="30"/>
        <v>13.2929298</v>
      </c>
      <c r="L190" s="11">
        <f t="shared" si="26"/>
        <v>4.3568777176794997</v>
      </c>
      <c r="M190" s="11">
        <f t="shared" si="27"/>
        <v>18.727289615456066</v>
      </c>
      <c r="N190" s="11">
        <f t="shared" si="28"/>
        <v>0.56586253982703694</v>
      </c>
      <c r="O190" s="11">
        <f t="shared" si="29"/>
        <v>5.0147160345372424</v>
      </c>
      <c r="P190" s="8">
        <v>157</v>
      </c>
      <c r="Q190" s="23" t="s">
        <v>61</v>
      </c>
      <c r="R190" s="22" t="s">
        <v>20</v>
      </c>
      <c r="S190" s="22" t="s">
        <v>29</v>
      </c>
    </row>
    <row r="191" spans="1:19" x14ac:dyDescent="0.2">
      <c r="A191" s="13"/>
      <c r="B191" s="18"/>
      <c r="C191" s="15" t="s">
        <v>38</v>
      </c>
      <c r="D191" s="15">
        <v>0.2142</v>
      </c>
      <c r="E191" s="15">
        <v>3.714</v>
      </c>
      <c r="F191" s="15">
        <v>6.7889999999999997</v>
      </c>
      <c r="G191" s="15">
        <v>-29.041</v>
      </c>
      <c r="H191" s="15">
        <v>49.640999999999998</v>
      </c>
      <c r="I191" s="15">
        <v>1.6</v>
      </c>
      <c r="J191" s="15">
        <v>5.8970000000000002</v>
      </c>
      <c r="K191" s="16">
        <f t="shared" si="30"/>
        <v>6.2611280999999996</v>
      </c>
      <c r="L191" s="17">
        <f t="shared" si="26"/>
        <v>7.3359847279669106</v>
      </c>
      <c r="M191" s="17">
        <f t="shared" si="27"/>
        <v>91.783206390488573</v>
      </c>
      <c r="N191" s="17">
        <f t="shared" si="28"/>
        <v>0.67661963283265059</v>
      </c>
      <c r="O191" s="17">
        <f t="shared" si="29"/>
        <v>14.596596288886522</v>
      </c>
      <c r="P191" s="18"/>
      <c r="Q191" s="18"/>
      <c r="R191" s="13"/>
      <c r="S191" s="13"/>
    </row>
    <row r="192" spans="1:19" x14ac:dyDescent="0.2">
      <c r="A192" s="5">
        <v>5</v>
      </c>
      <c r="B192" s="8" t="s">
        <v>39</v>
      </c>
      <c r="C192" s="7" t="s">
        <v>253</v>
      </c>
      <c r="D192" s="8">
        <v>5.3999999999999999E-2</v>
      </c>
      <c r="E192" s="7">
        <v>9.6639999999999997</v>
      </c>
      <c r="F192" s="7">
        <v>3.2719999999999998</v>
      </c>
      <c r="G192" s="7">
        <v>-17.922999999999998</v>
      </c>
      <c r="H192" s="7">
        <v>7.2439999999999998</v>
      </c>
      <c r="I192" s="7">
        <v>1.0980000000000001</v>
      </c>
      <c r="J192" s="7">
        <v>11.67</v>
      </c>
      <c r="K192" s="10">
        <f t="shared" si="30"/>
        <v>12.884490999999999</v>
      </c>
      <c r="L192" s="11">
        <f t="shared" si="26"/>
        <v>3.6060027574504185</v>
      </c>
      <c r="M192" s="11">
        <f t="shared" si="27"/>
        <v>13.022292402006316</v>
      </c>
      <c r="N192" s="11">
        <f t="shared" si="28"/>
        <v>0.52429069943862849</v>
      </c>
      <c r="O192" s="11">
        <f t="shared" si="29"/>
        <v>4.213162188414179</v>
      </c>
      <c r="P192" s="8">
        <v>153</v>
      </c>
      <c r="Q192" s="23" t="s">
        <v>61</v>
      </c>
      <c r="R192" s="22" t="s">
        <v>20</v>
      </c>
      <c r="S192" s="22" t="s">
        <v>37</v>
      </c>
    </row>
    <row r="193" spans="1:19" x14ac:dyDescent="0.2">
      <c r="A193" s="5">
        <v>5</v>
      </c>
      <c r="B193" s="8" t="s">
        <v>41</v>
      </c>
      <c r="C193" s="7" t="s">
        <v>254</v>
      </c>
      <c r="D193" s="8">
        <v>9.1300000000000006E-2</v>
      </c>
      <c r="E193" s="7">
        <v>10.215</v>
      </c>
      <c r="F193" s="7">
        <v>5.4740000000000002</v>
      </c>
      <c r="G193" s="7">
        <v>-17.5</v>
      </c>
      <c r="H193" s="7">
        <v>11.484</v>
      </c>
      <c r="I193" s="7">
        <v>1.647</v>
      </c>
      <c r="J193" s="7">
        <v>12.869</v>
      </c>
      <c r="K193" s="10">
        <f t="shared" si="30"/>
        <v>14.2601037</v>
      </c>
      <c r="L193" s="11">
        <f t="shared" si="26"/>
        <v>5.9413511507052714</v>
      </c>
      <c r="M193" s="11">
        <f t="shared" si="27"/>
        <v>20.898941110904701</v>
      </c>
      <c r="N193" s="11">
        <f t="shared" si="28"/>
        <v>0.69088150508268853</v>
      </c>
      <c r="O193" s="11">
        <f t="shared" si="29"/>
        <v>4.1037968206655924</v>
      </c>
      <c r="P193" s="8">
        <v>156</v>
      </c>
      <c r="Q193" s="23" t="s">
        <v>61</v>
      </c>
      <c r="R193" s="22" t="s">
        <v>20</v>
      </c>
      <c r="S193" s="22" t="s">
        <v>29</v>
      </c>
    </row>
    <row r="194" spans="1:19" x14ac:dyDescent="0.2">
      <c r="A194" s="5">
        <v>5</v>
      </c>
      <c r="B194" s="8" t="s">
        <v>43</v>
      </c>
      <c r="C194" s="7" t="s">
        <v>255</v>
      </c>
      <c r="D194" s="8">
        <v>7.2099999999999997E-2</v>
      </c>
      <c r="E194" s="7">
        <v>10.73</v>
      </c>
      <c r="F194" s="7">
        <v>4.1260000000000003</v>
      </c>
      <c r="G194" s="7">
        <v>-17.872</v>
      </c>
      <c r="H194" s="7">
        <v>8.968</v>
      </c>
      <c r="I194" s="7">
        <v>1.347</v>
      </c>
      <c r="J194" s="7">
        <v>12.864000000000001</v>
      </c>
      <c r="K194" s="10">
        <f t="shared" si="30"/>
        <v>14.254367200000001</v>
      </c>
      <c r="L194" s="11">
        <f t="shared" si="26"/>
        <v>4.5117191642804118</v>
      </c>
      <c r="M194" s="11">
        <f t="shared" si="27"/>
        <v>16.224967490247074</v>
      </c>
      <c r="N194" s="11">
        <f t="shared" si="28"/>
        <v>0.59984827795478679</v>
      </c>
      <c r="O194" s="11">
        <f t="shared" si="29"/>
        <v>4.1955467637446917</v>
      </c>
      <c r="P194" s="8">
        <v>159</v>
      </c>
      <c r="Q194" s="23" t="s">
        <v>61</v>
      </c>
      <c r="R194" s="22" t="s">
        <v>20</v>
      </c>
      <c r="S194" s="22" t="s">
        <v>21</v>
      </c>
    </row>
    <row r="195" spans="1:19" x14ac:dyDescent="0.2">
      <c r="A195" s="5">
        <v>5</v>
      </c>
      <c r="B195" s="8" t="s">
        <v>126</v>
      </c>
      <c r="C195" s="7" t="s">
        <v>256</v>
      </c>
      <c r="D195" s="8">
        <v>8.0699999999999994E-2</v>
      </c>
      <c r="E195" s="7">
        <v>8.5779999999999994</v>
      </c>
      <c r="F195" s="7">
        <v>4.048</v>
      </c>
      <c r="G195" s="7">
        <v>-16.818000000000001</v>
      </c>
      <c r="H195" s="7">
        <v>15.010999999999999</v>
      </c>
      <c r="I195" s="7">
        <v>1.341</v>
      </c>
      <c r="J195" s="7">
        <v>4.9320000000000004</v>
      </c>
      <c r="K195" s="10">
        <f t="shared" si="30"/>
        <v>5.1539836000000001</v>
      </c>
      <c r="L195" s="11">
        <f t="shared" si="26"/>
        <v>4.4289956517128006</v>
      </c>
      <c r="M195" s="11">
        <f t="shared" si="27"/>
        <v>27.451049600594462</v>
      </c>
      <c r="N195" s="11">
        <f t="shared" si="28"/>
        <v>0.59802761341222876</v>
      </c>
      <c r="O195" s="11">
        <f t="shared" si="29"/>
        <v>7.2310354429093984</v>
      </c>
      <c r="P195" s="8">
        <v>150</v>
      </c>
      <c r="Q195" s="23" t="s">
        <v>77</v>
      </c>
      <c r="R195" s="22" t="s">
        <v>20</v>
      </c>
      <c r="S195" s="22" t="s">
        <v>95</v>
      </c>
    </row>
    <row r="196" spans="1:19" x14ac:dyDescent="0.2">
      <c r="A196" s="5">
        <v>5</v>
      </c>
      <c r="B196" s="8" t="s">
        <v>128</v>
      </c>
      <c r="C196" s="7" t="s">
        <v>257</v>
      </c>
      <c r="D196" s="8">
        <v>0.1075</v>
      </c>
      <c r="E196" s="7">
        <v>8.2210000000000001</v>
      </c>
      <c r="F196" s="7">
        <v>7.4050000000000002</v>
      </c>
      <c r="G196" s="7">
        <v>-17.669</v>
      </c>
      <c r="H196" s="7">
        <v>21.065999999999999</v>
      </c>
      <c r="I196" s="7">
        <v>1.8939999999999999</v>
      </c>
      <c r="J196" s="7">
        <v>5.6820000000000004</v>
      </c>
      <c r="K196" s="10">
        <f t="shared" si="30"/>
        <v>6.0144586000000002</v>
      </c>
      <c r="L196" s="11">
        <f t="shared" si="26"/>
        <v>7.9892883656803484</v>
      </c>
      <c r="M196" s="11">
        <f t="shared" si="27"/>
        <v>38.699424112948165</v>
      </c>
      <c r="N196" s="11">
        <f t="shared" si="28"/>
        <v>0.76583219541799419</v>
      </c>
      <c r="O196" s="11">
        <f t="shared" si="29"/>
        <v>5.651232758817569</v>
      </c>
      <c r="P196" s="8">
        <v>146</v>
      </c>
      <c r="Q196" s="23" t="s">
        <v>77</v>
      </c>
      <c r="R196" s="22" t="s">
        <v>20</v>
      </c>
      <c r="S196" s="22" t="s">
        <v>21</v>
      </c>
    </row>
    <row r="197" spans="1:19" x14ac:dyDescent="0.2">
      <c r="A197" s="5">
        <v>5</v>
      </c>
      <c r="B197" s="8" t="s">
        <v>130</v>
      </c>
      <c r="C197" s="7" t="s">
        <v>258</v>
      </c>
      <c r="D197" s="8">
        <v>9.01E-2</v>
      </c>
      <c r="E197" s="7">
        <v>8.6489999999999991</v>
      </c>
      <c r="F197" s="7">
        <v>3.165</v>
      </c>
      <c r="G197" s="7">
        <v>-20.106000000000002</v>
      </c>
      <c r="H197" s="7">
        <v>8.7799999999999994</v>
      </c>
      <c r="I197" s="7">
        <v>0.85599999999999998</v>
      </c>
      <c r="J197" s="7">
        <v>13.834</v>
      </c>
      <c r="K197" s="10">
        <f t="shared" si="30"/>
        <v>15.367248199999999</v>
      </c>
      <c r="L197" s="11">
        <f t="shared" si="26"/>
        <v>3.4925230671333121</v>
      </c>
      <c r="M197" s="11">
        <f t="shared" si="27"/>
        <v>15.875719858814787</v>
      </c>
      <c r="N197" s="11">
        <f t="shared" si="28"/>
        <v>0.45085722955545438</v>
      </c>
      <c r="O197" s="11">
        <f t="shared" si="29"/>
        <v>5.3032357446446232</v>
      </c>
      <c r="P197" s="8">
        <v>167</v>
      </c>
      <c r="Q197" s="23" t="s">
        <v>169</v>
      </c>
      <c r="R197" s="22" t="s">
        <v>20</v>
      </c>
      <c r="S197" s="22" t="s">
        <v>37</v>
      </c>
    </row>
    <row r="198" spans="1:19" x14ac:dyDescent="0.2">
      <c r="A198" s="13"/>
      <c r="B198" s="18"/>
      <c r="C198" s="15" t="s">
        <v>38</v>
      </c>
      <c r="D198" s="15">
        <v>0.2576</v>
      </c>
      <c r="E198" s="15">
        <v>3.6970000000000001</v>
      </c>
      <c r="F198" s="15">
        <v>8.25</v>
      </c>
      <c r="G198" s="15">
        <v>-28.992000000000001</v>
      </c>
      <c r="H198" s="15">
        <v>59.658000000000001</v>
      </c>
      <c r="I198" s="15">
        <v>2.0619999999999998</v>
      </c>
      <c r="J198" s="15">
        <v>6.1280000000000001</v>
      </c>
      <c r="K198" s="16">
        <f t="shared" si="30"/>
        <v>6.5261544000000002</v>
      </c>
      <c r="L198" s="17">
        <f t="shared" si="26"/>
        <v>8.8854597518294618</v>
      </c>
      <c r="M198" s="17">
        <f t="shared" si="27"/>
        <v>110.39178896526101</v>
      </c>
      <c r="N198" s="17">
        <f t="shared" si="28"/>
        <v>0.81681080260961902</v>
      </c>
      <c r="O198" s="17">
        <f t="shared" si="29"/>
        <v>14.494513965127579</v>
      </c>
      <c r="P198" s="18"/>
      <c r="Q198" s="18"/>
      <c r="R198" s="13"/>
      <c r="S198" s="13"/>
    </row>
    <row r="199" spans="1:19" x14ac:dyDescent="0.2">
      <c r="A199" s="5">
        <v>5</v>
      </c>
      <c r="B199" s="8" t="s">
        <v>194</v>
      </c>
      <c r="C199" s="7" t="s">
        <v>259</v>
      </c>
      <c r="D199" s="8">
        <v>9.4799999999999995E-2</v>
      </c>
      <c r="E199" s="7">
        <v>7.976</v>
      </c>
      <c r="F199" s="7">
        <v>2.6520000000000001</v>
      </c>
      <c r="G199" s="7">
        <v>-18.579000000000001</v>
      </c>
      <c r="H199" s="7">
        <v>10.749000000000001</v>
      </c>
      <c r="I199" s="7">
        <v>1.0389999999999999</v>
      </c>
      <c r="J199" s="7">
        <v>14.319000000000001</v>
      </c>
      <c r="K199" s="10">
        <f t="shared" si="30"/>
        <v>15.9236887</v>
      </c>
      <c r="L199" s="11">
        <f t="shared" si="26"/>
        <v>2.9484568883232583</v>
      </c>
      <c r="M199" s="11">
        <f t="shared" si="27"/>
        <v>19.533531488017836</v>
      </c>
      <c r="N199" s="11">
        <f t="shared" si="28"/>
        <v>0.50638749810347439</v>
      </c>
      <c r="O199" s="11">
        <f t="shared" si="29"/>
        <v>7.7291684879659082</v>
      </c>
      <c r="P199" s="8">
        <v>68</v>
      </c>
      <c r="Q199" s="23" t="s">
        <v>136</v>
      </c>
      <c r="R199" s="22" t="s">
        <v>20</v>
      </c>
      <c r="S199" s="22" t="s">
        <v>21</v>
      </c>
    </row>
    <row r="200" spans="1:19" x14ac:dyDescent="0.2">
      <c r="A200" s="5">
        <v>5</v>
      </c>
      <c r="B200" s="8" t="s">
        <v>196</v>
      </c>
      <c r="C200" s="7" t="s">
        <v>260</v>
      </c>
      <c r="D200" s="8">
        <v>6.3399999999999998E-2</v>
      </c>
      <c r="E200" s="7">
        <v>8.6519999999999992</v>
      </c>
      <c r="F200" s="7">
        <v>4.452</v>
      </c>
      <c r="G200" s="7">
        <v>-21.491</v>
      </c>
      <c r="H200" s="7">
        <v>12.827999999999999</v>
      </c>
      <c r="I200" s="7">
        <v>3.2959999999999998</v>
      </c>
      <c r="J200" s="7">
        <v>16.109000000000002</v>
      </c>
      <c r="K200" s="10">
        <f t="shared" si="30"/>
        <v>17.9773557</v>
      </c>
      <c r="L200" s="11">
        <f t="shared" si="26"/>
        <v>4.8574610244988863</v>
      </c>
      <c r="M200" s="11">
        <f t="shared" si="27"/>
        <v>23.39569013561211</v>
      </c>
      <c r="N200" s="11">
        <f t="shared" si="28"/>
        <v>1.1912608101957214</v>
      </c>
      <c r="O200" s="11">
        <f t="shared" si="29"/>
        <v>5.619184937813607</v>
      </c>
      <c r="P200" s="8">
        <v>42</v>
      </c>
      <c r="Q200" s="23" t="s">
        <v>93</v>
      </c>
      <c r="R200" s="22" t="s">
        <v>94</v>
      </c>
      <c r="S200" s="22" t="s">
        <v>95</v>
      </c>
    </row>
    <row r="201" spans="1:19" x14ac:dyDescent="0.2">
      <c r="A201" s="5">
        <v>5</v>
      </c>
      <c r="B201" s="8" t="s">
        <v>198</v>
      </c>
      <c r="C201" s="7" t="s">
        <v>261</v>
      </c>
      <c r="D201" s="8">
        <v>2.4500000000000001E-2</v>
      </c>
      <c r="E201" s="24">
        <v>8.2509999999999994</v>
      </c>
      <c r="F201" s="24">
        <v>1.786</v>
      </c>
      <c r="G201" s="24">
        <v>-21.439</v>
      </c>
      <c r="H201" s="24">
        <v>4.7839999999999998</v>
      </c>
      <c r="I201" s="24">
        <v>0.94</v>
      </c>
      <c r="J201" s="24">
        <v>13.45</v>
      </c>
      <c r="K201" s="10">
        <f t="shared" si="30"/>
        <v>14.926684999999999</v>
      </c>
      <c r="L201" s="35">
        <f t="shared" si="26"/>
        <v>2.0300137872520945</v>
      </c>
      <c r="M201" s="35">
        <f t="shared" si="27"/>
        <v>8.4523499907114985</v>
      </c>
      <c r="N201" s="35">
        <f t="shared" si="28"/>
        <v>0.47634653315126685</v>
      </c>
      <c r="O201" s="35">
        <f t="shared" si="29"/>
        <v>4.8576394165833472</v>
      </c>
      <c r="P201" s="8">
        <v>43</v>
      </c>
      <c r="Q201" s="23" t="s">
        <v>93</v>
      </c>
      <c r="R201" s="22" t="s">
        <v>94</v>
      </c>
      <c r="S201" s="22" t="s">
        <v>95</v>
      </c>
    </row>
    <row r="202" spans="1:19" x14ac:dyDescent="0.2">
      <c r="A202" s="5">
        <v>5</v>
      </c>
      <c r="B202" s="8" t="s">
        <v>200</v>
      </c>
      <c r="C202" s="7" t="s">
        <v>262</v>
      </c>
      <c r="D202" s="8">
        <v>0.10100000000000001</v>
      </c>
      <c r="E202" s="7">
        <v>8.8810000000000002</v>
      </c>
      <c r="F202" s="7">
        <v>5.2389999999999999</v>
      </c>
      <c r="G202" s="7">
        <v>-17.353999999999999</v>
      </c>
      <c r="H202" s="7">
        <v>16.558</v>
      </c>
      <c r="I202" s="7">
        <v>2.37</v>
      </c>
      <c r="J202" s="7">
        <v>15.244</v>
      </c>
      <c r="K202" s="10">
        <f t="shared" si="30"/>
        <v>16.984941199999998</v>
      </c>
      <c r="L202" s="11">
        <f t="shared" si="26"/>
        <v>5.6921200551490081</v>
      </c>
      <c r="M202" s="11">
        <f t="shared" si="27"/>
        <v>30.324911759242056</v>
      </c>
      <c r="N202" s="11">
        <f t="shared" si="28"/>
        <v>0.91027158246093154</v>
      </c>
      <c r="O202" s="11">
        <f t="shared" si="29"/>
        <v>6.21544580513764</v>
      </c>
      <c r="P202" s="8">
        <v>54</v>
      </c>
      <c r="Q202" s="23" t="s">
        <v>24</v>
      </c>
      <c r="R202" s="22" t="s">
        <v>94</v>
      </c>
      <c r="S202" s="22" t="s">
        <v>95</v>
      </c>
    </row>
    <row r="203" spans="1:19" x14ac:dyDescent="0.2">
      <c r="A203" s="5">
        <v>5</v>
      </c>
      <c r="B203" s="8" t="s">
        <v>203</v>
      </c>
      <c r="C203" s="7" t="s">
        <v>263</v>
      </c>
      <c r="D203" s="8">
        <v>8.0699999999999994E-2</v>
      </c>
      <c r="E203" s="7">
        <v>8.5299999999999994</v>
      </c>
      <c r="F203" s="7">
        <v>8.9510000000000005</v>
      </c>
      <c r="G203" s="7">
        <v>-20.847999999999999</v>
      </c>
      <c r="H203" s="7">
        <v>20.510999999999999</v>
      </c>
      <c r="I203" s="7">
        <v>3.1389999999999998</v>
      </c>
      <c r="J203" s="7">
        <v>12.708</v>
      </c>
      <c r="K203" s="10">
        <f t="shared" si="30"/>
        <v>14.0753884</v>
      </c>
      <c r="L203" s="11">
        <f t="shared" si="26"/>
        <v>9.6289108070845266</v>
      </c>
      <c r="M203" s="11">
        <f t="shared" si="27"/>
        <v>37.668400520156041</v>
      </c>
      <c r="N203" s="11">
        <f t="shared" si="28"/>
        <v>1.1436200879987861</v>
      </c>
      <c r="O203" s="11">
        <f t="shared" si="29"/>
        <v>4.5640122911078906</v>
      </c>
      <c r="P203" s="8">
        <v>55</v>
      </c>
      <c r="Q203" s="23" t="s">
        <v>24</v>
      </c>
      <c r="R203" s="22" t="s">
        <v>94</v>
      </c>
      <c r="S203" s="22" t="s">
        <v>95</v>
      </c>
    </row>
    <row r="204" spans="1:19" x14ac:dyDescent="0.2">
      <c r="A204" s="5">
        <v>5</v>
      </c>
      <c r="B204" s="8" t="s">
        <v>264</v>
      </c>
      <c r="C204" s="7" t="s">
        <v>265</v>
      </c>
      <c r="D204" s="8">
        <v>9.9000000000000005E-2</v>
      </c>
      <c r="E204" s="7">
        <v>8.5920000000000005</v>
      </c>
      <c r="F204" s="7">
        <v>4.2460000000000004</v>
      </c>
      <c r="G204" s="7">
        <v>-17.863</v>
      </c>
      <c r="H204" s="7">
        <v>12.637</v>
      </c>
      <c r="I204" s="7">
        <v>1.5149999999999999</v>
      </c>
      <c r="J204" s="7">
        <v>14.785</v>
      </c>
      <c r="K204" s="10">
        <f t="shared" si="30"/>
        <v>16.458330499999999</v>
      </c>
      <c r="L204" s="11">
        <f t="shared" si="26"/>
        <v>4.638986106692121</v>
      </c>
      <c r="M204" s="11">
        <f t="shared" si="27"/>
        <v>23.040869403678247</v>
      </c>
      <c r="N204" s="11">
        <f t="shared" si="28"/>
        <v>0.65082688514641174</v>
      </c>
      <c r="O204" s="11">
        <f t="shared" si="29"/>
        <v>5.7945882324401019</v>
      </c>
      <c r="P204" s="8">
        <v>60</v>
      </c>
      <c r="Q204" s="23" t="s">
        <v>98</v>
      </c>
      <c r="R204" s="22" t="s">
        <v>94</v>
      </c>
      <c r="S204" s="22" t="s">
        <v>95</v>
      </c>
    </row>
    <row r="205" spans="1:19" x14ac:dyDescent="0.2">
      <c r="A205" s="13"/>
      <c r="B205" s="18"/>
      <c r="C205" s="15" t="s">
        <v>38</v>
      </c>
      <c r="D205" s="15">
        <v>0.31269999999999998</v>
      </c>
      <c r="E205" s="15">
        <v>3.8340000000000001</v>
      </c>
      <c r="F205" s="15">
        <v>10.053000000000001</v>
      </c>
      <c r="G205" s="15">
        <v>-28.974</v>
      </c>
      <c r="H205" s="15">
        <v>72.751999999999995</v>
      </c>
      <c r="I205" s="15">
        <v>2.665</v>
      </c>
      <c r="J205" s="15">
        <v>6.1440000000000001</v>
      </c>
      <c r="K205" s="16">
        <f t="shared" si="30"/>
        <v>6.5445111999999996</v>
      </c>
      <c r="L205" s="17">
        <f t="shared" si="26"/>
        <v>10.797645561565385</v>
      </c>
      <c r="M205" s="17">
        <f t="shared" si="27"/>
        <v>134.71651495448634</v>
      </c>
      <c r="N205" s="17">
        <f t="shared" si="28"/>
        <v>0.99978758913670152</v>
      </c>
      <c r="O205" s="17">
        <f t="shared" si="29"/>
        <v>14.555883183121928</v>
      </c>
      <c r="P205" s="18"/>
      <c r="Q205" s="18"/>
      <c r="R205" s="13"/>
      <c r="S205" s="13"/>
    </row>
    <row r="206" spans="1:19" x14ac:dyDescent="0.2">
      <c r="A206" s="13"/>
      <c r="B206" s="18"/>
      <c r="C206" s="15" t="s">
        <v>266</v>
      </c>
      <c r="D206" s="15">
        <v>1.9900000000000001E-2</v>
      </c>
      <c r="E206" s="15">
        <v>0.85799999999999998</v>
      </c>
      <c r="F206" s="15">
        <v>6.8719999999999999</v>
      </c>
      <c r="G206" s="15">
        <v>-27.739000000000001</v>
      </c>
      <c r="H206" s="15">
        <v>7.0890000000000004</v>
      </c>
      <c r="I206" s="15"/>
      <c r="J206" s="15"/>
      <c r="K206" s="16"/>
      <c r="L206" s="17">
        <f t="shared" si="26"/>
        <v>7.4240110298016759</v>
      </c>
      <c r="M206" s="17">
        <f t="shared" si="27"/>
        <v>12.734348876091399</v>
      </c>
      <c r="N206" s="17"/>
      <c r="O206" s="17">
        <f t="shared" si="29"/>
        <v>2.0011743376729396</v>
      </c>
      <c r="P206" s="18"/>
      <c r="Q206" s="18"/>
      <c r="R206" s="13"/>
      <c r="S206" s="13"/>
    </row>
    <row r="207" spans="1:19" x14ac:dyDescent="0.2">
      <c r="A207" s="13"/>
      <c r="B207" s="18"/>
      <c r="C207" s="15" t="s">
        <v>266</v>
      </c>
      <c r="D207" s="15">
        <v>4.8099999999999997E-2</v>
      </c>
      <c r="E207" s="15">
        <v>0.88800000000000001</v>
      </c>
      <c r="F207" s="15">
        <v>12.647</v>
      </c>
      <c r="G207" s="15">
        <v>-27.532</v>
      </c>
      <c r="H207" s="15">
        <v>12.891</v>
      </c>
      <c r="I207" s="15"/>
      <c r="J207" s="15"/>
      <c r="K207" s="16"/>
      <c r="L207" s="17">
        <f t="shared" si="26"/>
        <v>13.54873263336515</v>
      </c>
      <c r="M207" s="17">
        <f t="shared" si="27"/>
        <v>23.512725246145273</v>
      </c>
      <c r="N207" s="17"/>
      <c r="O207" s="17">
        <f t="shared" si="29"/>
        <v>2.0246552596083092</v>
      </c>
      <c r="P207" s="18"/>
      <c r="Q207" s="18"/>
      <c r="R207" s="13"/>
      <c r="S207" s="13"/>
    </row>
    <row r="208" spans="1:19" x14ac:dyDescent="0.2">
      <c r="A208" s="5">
        <v>5</v>
      </c>
      <c r="B208" s="8" t="s">
        <v>46</v>
      </c>
      <c r="C208" s="7" t="s">
        <v>267</v>
      </c>
      <c r="D208" s="8">
        <v>4.8599999999999997E-2</v>
      </c>
      <c r="E208" s="7">
        <v>8.3309999999999995</v>
      </c>
      <c r="F208" s="7">
        <v>3.08</v>
      </c>
      <c r="G208" s="7">
        <v>-14.788</v>
      </c>
      <c r="H208" s="7">
        <v>10.72</v>
      </c>
      <c r="I208" s="7">
        <v>1.123</v>
      </c>
      <c r="J208" s="7">
        <v>15.103</v>
      </c>
      <c r="K208" s="10">
        <f t="shared" si="30"/>
        <v>16.823171899999998</v>
      </c>
      <c r="L208" s="11">
        <f t="shared" si="26"/>
        <v>3.4023756495916855</v>
      </c>
      <c r="M208" s="11">
        <f t="shared" si="27"/>
        <v>19.479658183169239</v>
      </c>
      <c r="N208" s="11">
        <f t="shared" si="28"/>
        <v>0.53187680169928697</v>
      </c>
      <c r="O208" s="11">
        <f t="shared" si="29"/>
        <v>6.6795293115536669</v>
      </c>
      <c r="P208" s="8">
        <v>61</v>
      </c>
      <c r="Q208" s="23" t="s">
        <v>136</v>
      </c>
      <c r="R208" s="22" t="s">
        <v>20</v>
      </c>
      <c r="S208" s="22" t="s">
        <v>37</v>
      </c>
    </row>
    <row r="209" spans="1:19" x14ac:dyDescent="0.2">
      <c r="A209" s="5">
        <v>5</v>
      </c>
      <c r="B209" s="8" t="s">
        <v>48</v>
      </c>
      <c r="C209" s="7" t="s">
        <v>268</v>
      </c>
      <c r="D209" s="8">
        <v>5.4899999999999997E-2</v>
      </c>
      <c r="E209" s="7">
        <v>7.9790000000000001</v>
      </c>
      <c r="F209" s="7">
        <v>3.2570000000000001</v>
      </c>
      <c r="G209" s="7">
        <v>-18.832999999999998</v>
      </c>
      <c r="H209" s="7">
        <v>11.275</v>
      </c>
      <c r="I209" s="7">
        <v>1.2829999999999999</v>
      </c>
      <c r="J209" s="7">
        <v>15.282</v>
      </c>
      <c r="K209" s="10">
        <f t="shared" si="30"/>
        <v>17.028538600000001</v>
      </c>
      <c r="L209" s="11">
        <f t="shared" si="26"/>
        <v>3.5900943896489554</v>
      </c>
      <c r="M209" s="11">
        <f t="shared" si="27"/>
        <v>20.510681775961363</v>
      </c>
      <c r="N209" s="11">
        <f t="shared" si="28"/>
        <v>0.58042785616750103</v>
      </c>
      <c r="O209" s="11">
        <f t="shared" si="29"/>
        <v>6.6653202232271704</v>
      </c>
      <c r="P209" s="8">
        <v>62</v>
      </c>
      <c r="Q209" s="23" t="s">
        <v>136</v>
      </c>
      <c r="R209" s="22" t="s">
        <v>20</v>
      </c>
      <c r="S209" s="22" t="s">
        <v>37</v>
      </c>
    </row>
    <row r="210" spans="1:19" x14ac:dyDescent="0.2">
      <c r="A210" s="5">
        <v>5</v>
      </c>
      <c r="B210" s="8" t="s">
        <v>50</v>
      </c>
      <c r="C210" s="7" t="s">
        <v>269</v>
      </c>
      <c r="D210" s="8">
        <v>4.4699999999999997E-2</v>
      </c>
      <c r="E210" s="7">
        <v>8.1959999999999997</v>
      </c>
      <c r="F210" s="7">
        <v>2.4940000000000002</v>
      </c>
      <c r="G210" s="7">
        <v>-18.826000000000001</v>
      </c>
      <c r="H210" s="7">
        <v>8.952</v>
      </c>
      <c r="I210" s="7">
        <v>0.84099999999999997</v>
      </c>
      <c r="J210" s="7">
        <v>14.164999999999999</v>
      </c>
      <c r="K210" s="10">
        <f t="shared" si="30"/>
        <v>15.747004499999999</v>
      </c>
      <c r="L210" s="11">
        <f t="shared" si="26"/>
        <v>2.7808887474811752</v>
      </c>
      <c r="M210" s="11">
        <f t="shared" si="27"/>
        <v>16.195244287571985</v>
      </c>
      <c r="N210" s="11">
        <f t="shared" si="28"/>
        <v>0.44630556819905937</v>
      </c>
      <c r="O210" s="11">
        <f t="shared" si="29"/>
        <v>6.7943932262474966</v>
      </c>
      <c r="P210" s="8">
        <v>63</v>
      </c>
      <c r="Q210" s="23" t="s">
        <v>136</v>
      </c>
      <c r="R210" s="22" t="s">
        <v>20</v>
      </c>
      <c r="S210" s="22" t="s">
        <v>37</v>
      </c>
    </row>
    <row r="211" spans="1:19" x14ac:dyDescent="0.2">
      <c r="A211" s="5">
        <v>5</v>
      </c>
      <c r="B211" s="8" t="s">
        <v>270</v>
      </c>
      <c r="C211" s="7" t="s">
        <v>271</v>
      </c>
      <c r="D211" s="8">
        <v>4.5600000000000002E-2</v>
      </c>
      <c r="E211" s="9">
        <v>8.0399999999999991</v>
      </c>
      <c r="F211" s="9">
        <v>0.96099999999999997</v>
      </c>
      <c r="G211" s="24">
        <v>-18.905999999999999</v>
      </c>
      <c r="H211" s="24">
        <v>3.9319999999999999</v>
      </c>
      <c r="I211" s="24">
        <v>0.35499999999999998</v>
      </c>
      <c r="J211" s="24">
        <v>11.662000000000001</v>
      </c>
      <c r="K211" s="10">
        <f t="shared" si="30"/>
        <v>12.875312600000001</v>
      </c>
      <c r="L211" s="36">
        <f t="shared" si="26"/>
        <v>1.1550535581715982</v>
      </c>
      <c r="M211" s="35">
        <f t="shared" si="27"/>
        <v>6.8695894482630502</v>
      </c>
      <c r="N211" s="35">
        <f t="shared" si="28"/>
        <v>0.2988317402518586</v>
      </c>
      <c r="O211" s="36">
        <f t="shared" si="29"/>
        <v>6.9386574901861806</v>
      </c>
      <c r="P211" s="8">
        <v>69</v>
      </c>
      <c r="Q211" s="23" t="s">
        <v>136</v>
      </c>
      <c r="R211" s="22" t="s">
        <v>20</v>
      </c>
      <c r="S211" s="22" t="s">
        <v>21</v>
      </c>
    </row>
    <row r="212" spans="1:19" x14ac:dyDescent="0.2">
      <c r="A212" s="5">
        <v>5</v>
      </c>
      <c r="B212" s="8" t="s">
        <v>272</v>
      </c>
      <c r="C212" s="7" t="s">
        <v>273</v>
      </c>
      <c r="D212" s="8">
        <v>2.8400000000000002E-2</v>
      </c>
      <c r="E212" s="24">
        <v>8.8209999999999997</v>
      </c>
      <c r="F212" s="24">
        <v>1.742</v>
      </c>
      <c r="G212" s="24">
        <v>-17.689</v>
      </c>
      <c r="H212" s="24">
        <v>4.5730000000000004</v>
      </c>
      <c r="I212" s="24">
        <v>0.67900000000000005</v>
      </c>
      <c r="J212" s="24">
        <v>14.647</v>
      </c>
      <c r="K212" s="10">
        <f t="shared" si="30"/>
        <v>16.300003100000001</v>
      </c>
      <c r="L212" s="35">
        <f t="shared" si="26"/>
        <v>1.9833492417011347</v>
      </c>
      <c r="M212" s="35">
        <f t="shared" si="27"/>
        <v>8.0603752554337742</v>
      </c>
      <c r="N212" s="35">
        <f t="shared" si="28"/>
        <v>0.39714762554999244</v>
      </c>
      <c r="O212" s="35">
        <f t="shared" si="29"/>
        <v>4.7413591785144771</v>
      </c>
      <c r="P212" s="8">
        <v>100</v>
      </c>
      <c r="Q212" s="23" t="s">
        <v>116</v>
      </c>
      <c r="R212" s="22" t="s">
        <v>20</v>
      </c>
      <c r="S212" s="22" t="s">
        <v>29</v>
      </c>
    </row>
    <row r="213" spans="1:19" x14ac:dyDescent="0.2">
      <c r="A213" s="5">
        <v>5</v>
      </c>
      <c r="B213" s="8" t="s">
        <v>274</v>
      </c>
      <c r="C213" s="7" t="s">
        <v>275</v>
      </c>
      <c r="D213" s="8">
        <v>2.8899999999999999E-2</v>
      </c>
      <c r="E213" s="24">
        <v>9.0609999999999999</v>
      </c>
      <c r="F213" s="24">
        <v>1.5349999999999999</v>
      </c>
      <c r="G213" s="24">
        <v>-23.425000000000001</v>
      </c>
      <c r="H213" s="24">
        <v>5.41</v>
      </c>
      <c r="I213" s="24">
        <v>0.55700000000000005</v>
      </c>
      <c r="J213" s="24">
        <v>14.378</v>
      </c>
      <c r="K213" s="10">
        <f t="shared" si="30"/>
        <v>15.9913794</v>
      </c>
      <c r="L213" s="35">
        <f t="shared" si="26"/>
        <v>1.7638137660409376</v>
      </c>
      <c r="M213" s="35">
        <f t="shared" si="27"/>
        <v>9.6152702953743265</v>
      </c>
      <c r="N213" s="35">
        <f t="shared" si="28"/>
        <v>0.36012744651797907</v>
      </c>
      <c r="O213" s="35">
        <f t="shared" si="29"/>
        <v>6.3599772042730613</v>
      </c>
      <c r="P213" s="8">
        <v>104</v>
      </c>
      <c r="Q213" s="23" t="s">
        <v>116</v>
      </c>
      <c r="R213" s="22" t="s">
        <v>20</v>
      </c>
      <c r="S213" s="22" t="s">
        <v>21</v>
      </c>
    </row>
    <row r="214" spans="1:19" x14ac:dyDescent="0.2">
      <c r="A214" s="13"/>
      <c r="B214" s="18"/>
      <c r="C214" s="15" t="s">
        <v>38</v>
      </c>
      <c r="D214" s="15">
        <v>0.31869999999999998</v>
      </c>
      <c r="E214" s="15">
        <v>3.605</v>
      </c>
      <c r="F214" s="15">
        <v>10.477</v>
      </c>
      <c r="G214" s="15">
        <v>-28.943000000000001</v>
      </c>
      <c r="H214" s="15">
        <v>73.462999999999994</v>
      </c>
      <c r="I214" s="15">
        <v>2.738</v>
      </c>
      <c r="J214" s="15">
        <v>6.2670000000000003</v>
      </c>
      <c r="K214" s="16">
        <f t="shared" si="30"/>
        <v>6.6856290999999999</v>
      </c>
      <c r="L214" s="17">
        <f t="shared" si="26"/>
        <v>11.247322091420088</v>
      </c>
      <c r="M214" s="17">
        <f t="shared" si="27"/>
        <v>136.03733977336057</v>
      </c>
      <c r="N214" s="17">
        <f t="shared" si="28"/>
        <v>1.0219390077378243</v>
      </c>
      <c r="O214" s="17">
        <f t="shared" si="29"/>
        <v>14.110934891484783</v>
      </c>
      <c r="P214" s="18"/>
      <c r="Q214" s="18"/>
      <c r="R214" s="13"/>
      <c r="S214" s="13"/>
    </row>
    <row r="215" spans="1:19" x14ac:dyDescent="0.2">
      <c r="A215" s="5">
        <v>5</v>
      </c>
      <c r="B215" s="8" t="s">
        <v>276</v>
      </c>
      <c r="C215" s="7" t="s">
        <v>277</v>
      </c>
      <c r="D215" s="8">
        <v>9.1499999999999998E-2</v>
      </c>
      <c r="E215" s="7">
        <v>8.391</v>
      </c>
      <c r="F215" s="7">
        <v>5.8810000000000002</v>
      </c>
      <c r="G215" s="7">
        <v>-18.774999999999999</v>
      </c>
      <c r="H215" s="7">
        <v>18.420999999999999</v>
      </c>
      <c r="I215" s="7">
        <v>1.792</v>
      </c>
      <c r="J215" s="7">
        <v>5.8460000000000001</v>
      </c>
      <c r="K215" s="10">
        <f t="shared" si="30"/>
        <v>6.2026158000000002</v>
      </c>
      <c r="L215" s="11">
        <f t="shared" si="26"/>
        <v>6.3729981970516496</v>
      </c>
      <c r="M215" s="11">
        <f t="shared" si="27"/>
        <v>33.785807170722642</v>
      </c>
      <c r="N215" s="11">
        <f t="shared" si="28"/>
        <v>0.73488089819450775</v>
      </c>
      <c r="O215" s="11">
        <f t="shared" si="29"/>
        <v>6.1849656651001705</v>
      </c>
      <c r="P215" s="8">
        <v>145</v>
      </c>
      <c r="Q215" s="23" t="s">
        <v>77</v>
      </c>
      <c r="R215" s="22" t="s">
        <v>20</v>
      </c>
      <c r="S215" s="22" t="s">
        <v>29</v>
      </c>
    </row>
    <row r="216" spans="1:19" x14ac:dyDescent="0.2">
      <c r="A216" s="5">
        <v>5</v>
      </c>
      <c r="B216" s="8" t="s">
        <v>278</v>
      </c>
      <c r="C216" s="7" t="s">
        <v>279</v>
      </c>
      <c r="D216" s="8">
        <v>9.6799999999999997E-2</v>
      </c>
      <c r="E216" s="7">
        <v>8.1839999999999993</v>
      </c>
      <c r="F216" s="7">
        <v>5.5780000000000003</v>
      </c>
      <c r="G216" s="7">
        <v>-18.158999999999999</v>
      </c>
      <c r="H216" s="7">
        <v>20.72</v>
      </c>
      <c r="I216" s="7">
        <v>1.7869999999999999</v>
      </c>
      <c r="J216" s="7">
        <v>6.0090000000000003</v>
      </c>
      <c r="K216" s="10">
        <f t="shared" si="30"/>
        <v>6.3896256999999999</v>
      </c>
      <c r="L216" s="11">
        <f t="shared" si="26"/>
        <v>6.0516491674620854</v>
      </c>
      <c r="M216" s="11">
        <f t="shared" si="27"/>
        <v>38.056659855099383</v>
      </c>
      <c r="N216" s="11">
        <f t="shared" si="28"/>
        <v>0.73336367774237587</v>
      </c>
      <c r="O216" s="11">
        <f t="shared" si="29"/>
        <v>7.3367499121294886</v>
      </c>
      <c r="P216" s="8">
        <v>149</v>
      </c>
      <c r="Q216" s="23" t="s">
        <v>77</v>
      </c>
      <c r="R216" s="22" t="s">
        <v>20</v>
      </c>
      <c r="S216" s="22" t="s">
        <v>21</v>
      </c>
    </row>
    <row r="217" spans="1:19" x14ac:dyDescent="0.2">
      <c r="A217" s="5">
        <v>5</v>
      </c>
      <c r="B217" s="8" t="s">
        <v>280</v>
      </c>
      <c r="C217" s="7" t="s">
        <v>281</v>
      </c>
      <c r="D217" s="8">
        <v>4.2700000000000002E-2</v>
      </c>
      <c r="E217" s="7">
        <v>10.847</v>
      </c>
      <c r="F217" s="7">
        <v>3.556</v>
      </c>
      <c r="G217" s="7">
        <v>-17.524999999999999</v>
      </c>
      <c r="H217" s="7">
        <v>8.1809999999999992</v>
      </c>
      <c r="I217" s="7">
        <v>1.085</v>
      </c>
      <c r="J217" s="7">
        <v>12.462</v>
      </c>
      <c r="K217" s="10">
        <f t="shared" si="30"/>
        <v>13.793152599999999</v>
      </c>
      <c r="L217" s="11">
        <f t="shared" si="26"/>
        <v>3.9072011878247959</v>
      </c>
      <c r="M217" s="11">
        <f t="shared" si="27"/>
        <v>14.76295745866617</v>
      </c>
      <c r="N217" s="11">
        <f t="shared" si="28"/>
        <v>0.52034592626308596</v>
      </c>
      <c r="O217" s="11">
        <f t="shared" si="29"/>
        <v>4.4081298966927394</v>
      </c>
      <c r="P217" s="8">
        <v>172</v>
      </c>
      <c r="Q217" s="23" t="s">
        <v>171</v>
      </c>
      <c r="R217" s="22" t="s">
        <v>20</v>
      </c>
      <c r="S217" s="22" t="s">
        <v>37</v>
      </c>
    </row>
    <row r="218" spans="1:19" x14ac:dyDescent="0.2">
      <c r="A218" s="5">
        <v>5</v>
      </c>
      <c r="B218" s="8" t="s">
        <v>282</v>
      </c>
      <c r="C218" s="7" t="s">
        <v>283</v>
      </c>
      <c r="D218" s="8">
        <v>0.12590000000000001</v>
      </c>
      <c r="E218" s="7">
        <v>6.7789999999999999</v>
      </c>
      <c r="F218" s="7">
        <v>4.4169999999999998</v>
      </c>
      <c r="G218" s="7">
        <v>-24.594000000000001</v>
      </c>
      <c r="H218" s="7">
        <v>22.111999999999998</v>
      </c>
      <c r="I218" s="38">
        <v>8.6720000000000006</v>
      </c>
      <c r="J218" s="38">
        <v>20.105</v>
      </c>
      <c r="K218" s="10">
        <f t="shared" si="30"/>
        <v>22.5619665</v>
      </c>
      <c r="L218" s="11">
        <f t="shared" si="26"/>
        <v>4.820341499628805</v>
      </c>
      <c r="M218" s="11">
        <f t="shared" si="27"/>
        <v>40.642578487832061</v>
      </c>
      <c r="N218" s="11">
        <f t="shared" si="28"/>
        <v>2.8225762403277197</v>
      </c>
      <c r="O218" s="11">
        <f t="shared" si="29"/>
        <v>9.8367183264481888</v>
      </c>
      <c r="P218" s="8">
        <v>121</v>
      </c>
      <c r="Q218" s="23" t="s">
        <v>45</v>
      </c>
      <c r="R218" s="22" t="s">
        <v>20</v>
      </c>
      <c r="S218" s="22" t="s">
        <v>29</v>
      </c>
    </row>
    <row r="219" spans="1:19" x14ac:dyDescent="0.2">
      <c r="A219" s="5">
        <v>5</v>
      </c>
      <c r="B219" s="8" t="s">
        <v>284</v>
      </c>
      <c r="C219" s="7" t="s">
        <v>285</v>
      </c>
      <c r="D219" s="8">
        <v>0.13489999999999999</v>
      </c>
      <c r="E219" s="7">
        <v>8.8670000000000009</v>
      </c>
      <c r="F219" s="7">
        <v>5.2060000000000004</v>
      </c>
      <c r="G219" s="7">
        <v>-20.331</v>
      </c>
      <c r="H219" s="7">
        <v>25.059000000000001</v>
      </c>
      <c r="I219" s="38">
        <v>5.6449999999999996</v>
      </c>
      <c r="J219" s="38">
        <v>17.963000000000001</v>
      </c>
      <c r="K219" s="10">
        <f t="shared" ref="K219:K224" si="31">(J219*1.1473)+0.154</f>
        <v>20.762949900000002</v>
      </c>
      <c r="L219" s="11">
        <f t="shared" ref="L219:L224" si="32">(F219+0.2903)/0.8486</f>
        <v>6.4769031345745942</v>
      </c>
      <c r="M219" s="11">
        <f t="shared" ref="M219:M224" si="33">(H219+1.3784)/0.506</f>
        <v>52.247826086956522</v>
      </c>
      <c r="N219" s="11">
        <f t="shared" ref="N219:N224" si="34">(I219+0.2786)/2.8244</f>
        <v>2.0972950007081148</v>
      </c>
      <c r="O219" s="11">
        <f t="shared" si="29"/>
        <v>9.4112565581008774</v>
      </c>
      <c r="P219" s="8">
        <v>122</v>
      </c>
      <c r="Q219" s="23" t="s">
        <v>45</v>
      </c>
      <c r="R219" s="22" t="s">
        <v>20</v>
      </c>
      <c r="S219" s="22" t="s">
        <v>29</v>
      </c>
    </row>
    <row r="220" spans="1:19" x14ac:dyDescent="0.2">
      <c r="A220" s="5">
        <v>5</v>
      </c>
      <c r="B220" s="8" t="s">
        <v>286</v>
      </c>
      <c r="C220" s="7" t="s">
        <v>287</v>
      </c>
      <c r="D220" s="8">
        <v>0.1462</v>
      </c>
      <c r="E220" s="7">
        <v>7.8140000000000001</v>
      </c>
      <c r="F220" s="7">
        <v>2.839</v>
      </c>
      <c r="G220" s="7">
        <v>-20.808</v>
      </c>
      <c r="H220" s="7">
        <v>22.231000000000002</v>
      </c>
      <c r="I220" s="38">
        <v>7.5359999999999996</v>
      </c>
      <c r="J220" s="38">
        <v>17.989999999999998</v>
      </c>
      <c r="K220" s="10">
        <f t="shared" si="31"/>
        <v>20.793926999999996</v>
      </c>
      <c r="L220" s="11">
        <f t="shared" si="32"/>
        <v>3.687603111006363</v>
      </c>
      <c r="M220" s="11">
        <f t="shared" si="33"/>
        <v>46.658893280632412</v>
      </c>
      <c r="N220" s="11">
        <f t="shared" si="34"/>
        <v>2.7668177311995468</v>
      </c>
      <c r="O220" s="11">
        <f t="shared" si="29"/>
        <v>14.76172295537941</v>
      </c>
      <c r="P220" s="8">
        <v>123</v>
      </c>
      <c r="Q220" s="23" t="s">
        <v>45</v>
      </c>
      <c r="R220" s="22" t="s">
        <v>20</v>
      </c>
      <c r="S220" s="22" t="s">
        <v>29</v>
      </c>
    </row>
    <row r="221" spans="1:19" x14ac:dyDescent="0.2">
      <c r="A221" s="5">
        <v>5</v>
      </c>
      <c r="B221" s="8" t="s">
        <v>53</v>
      </c>
      <c r="C221" s="7" t="s">
        <v>288</v>
      </c>
      <c r="D221" s="8">
        <v>0.12509999999999999</v>
      </c>
      <c r="E221" s="7">
        <v>6.7969999999999997</v>
      </c>
      <c r="F221" s="7">
        <v>3.2850000000000001</v>
      </c>
      <c r="G221" s="7">
        <v>-22.504999999999999</v>
      </c>
      <c r="H221" s="7">
        <v>26.148</v>
      </c>
      <c r="I221" s="38">
        <v>6.57</v>
      </c>
      <c r="J221" s="38">
        <v>20.14</v>
      </c>
      <c r="K221" s="10">
        <f t="shared" si="31"/>
        <v>23.260622000000001</v>
      </c>
      <c r="L221" s="11">
        <f t="shared" si="32"/>
        <v>4.2131746405844925</v>
      </c>
      <c r="M221" s="11">
        <f t="shared" si="33"/>
        <v>54.4</v>
      </c>
      <c r="N221" s="11">
        <f t="shared" si="34"/>
        <v>2.4247981872256057</v>
      </c>
      <c r="O221" s="11">
        <f t="shared" si="29"/>
        <v>15.063858510707723</v>
      </c>
      <c r="P221" s="8">
        <v>124</v>
      </c>
      <c r="Q221" s="23" t="s">
        <v>45</v>
      </c>
      <c r="R221" s="22" t="s">
        <v>20</v>
      </c>
      <c r="S221" s="22" t="s">
        <v>21</v>
      </c>
    </row>
    <row r="222" spans="1:19" x14ac:dyDescent="0.2">
      <c r="A222" s="5">
        <v>5</v>
      </c>
      <c r="B222" s="8" t="s">
        <v>55</v>
      </c>
      <c r="C222" s="7" t="s">
        <v>289</v>
      </c>
      <c r="D222" s="8">
        <v>0.11990000000000001</v>
      </c>
      <c r="E222" s="7">
        <v>6.8789999999999996</v>
      </c>
      <c r="F222" s="7">
        <v>5.8490000000000002</v>
      </c>
      <c r="G222" s="7">
        <v>-25.28</v>
      </c>
      <c r="H222" s="7">
        <v>22.690999999999999</v>
      </c>
      <c r="I222" s="38">
        <v>10.147</v>
      </c>
      <c r="J222" s="38">
        <v>-27.943999999999999</v>
      </c>
      <c r="K222" s="10">
        <f t="shared" si="31"/>
        <v>-31.9061512</v>
      </c>
      <c r="L222" s="11">
        <f t="shared" si="32"/>
        <v>7.2346217299080839</v>
      </c>
      <c r="M222" s="11">
        <f t="shared" si="33"/>
        <v>47.567984189723319</v>
      </c>
      <c r="N222" s="11">
        <f t="shared" si="34"/>
        <v>3.6912618609262151</v>
      </c>
      <c r="O222" s="11">
        <f t="shared" si="29"/>
        <v>7.6708891807370678</v>
      </c>
      <c r="P222" s="8">
        <v>125</v>
      </c>
      <c r="Q222" s="23" t="s">
        <v>45</v>
      </c>
      <c r="R222" s="22" t="s">
        <v>20</v>
      </c>
      <c r="S222" s="22" t="s">
        <v>21</v>
      </c>
    </row>
    <row r="223" spans="1:19" x14ac:dyDescent="0.2">
      <c r="A223" s="5">
        <v>5</v>
      </c>
      <c r="B223" s="8" t="s">
        <v>57</v>
      </c>
      <c r="C223" s="7" t="s">
        <v>290</v>
      </c>
      <c r="D223" s="8">
        <v>0.1255</v>
      </c>
      <c r="E223" s="7">
        <v>5.5990000000000002</v>
      </c>
      <c r="F223" s="7">
        <v>4.6760000000000002</v>
      </c>
      <c r="G223" s="7">
        <v>-25.541</v>
      </c>
      <c r="H223" s="7">
        <v>22.239000000000001</v>
      </c>
      <c r="I223" s="38">
        <v>8.5009999999999994</v>
      </c>
      <c r="J223" s="38">
        <v>20.356999999999999</v>
      </c>
      <c r="K223" s="10">
        <f t="shared" si="31"/>
        <v>23.5095861</v>
      </c>
      <c r="L223" s="11">
        <f t="shared" si="32"/>
        <v>5.85234503888758</v>
      </c>
      <c r="M223" s="11">
        <f t="shared" si="33"/>
        <v>46.674703557312249</v>
      </c>
      <c r="N223" s="11">
        <f t="shared" si="34"/>
        <v>3.1084832176745505</v>
      </c>
      <c r="O223" s="11">
        <f t="shared" si="29"/>
        <v>9.3046155780341557</v>
      </c>
      <c r="P223" s="8">
        <v>126</v>
      </c>
      <c r="Q223" s="23" t="s">
        <v>45</v>
      </c>
      <c r="R223" s="22" t="s">
        <v>20</v>
      </c>
      <c r="S223" s="22" t="s">
        <v>21</v>
      </c>
    </row>
    <row r="224" spans="1:19" x14ac:dyDescent="0.2">
      <c r="A224" s="5">
        <v>5</v>
      </c>
      <c r="B224" s="8" t="s">
        <v>209</v>
      </c>
      <c r="C224" s="7" t="s">
        <v>291</v>
      </c>
      <c r="D224" s="8">
        <v>0.1658</v>
      </c>
      <c r="E224" s="7">
        <v>6.5339999999999998</v>
      </c>
      <c r="F224" s="7">
        <v>5.7119999999999997</v>
      </c>
      <c r="G224" s="7">
        <v>-24.673999999999999</v>
      </c>
      <c r="H224" s="7">
        <v>28.324000000000002</v>
      </c>
      <c r="I224" s="38">
        <v>9.9610000000000003</v>
      </c>
      <c r="J224" s="38">
        <v>-8.6639999999999997</v>
      </c>
      <c r="K224" s="10">
        <f t="shared" si="31"/>
        <v>-9.7862071999999998</v>
      </c>
      <c r="L224" s="11">
        <f t="shared" si="32"/>
        <v>7.073179354230497</v>
      </c>
      <c r="M224" s="11">
        <f t="shared" si="33"/>
        <v>58.700395256916998</v>
      </c>
      <c r="N224" s="11">
        <f t="shared" si="34"/>
        <v>3.6254071661237792</v>
      </c>
      <c r="O224" s="11">
        <f t="shared" si="29"/>
        <v>9.6821798284307228</v>
      </c>
      <c r="P224" s="8">
        <v>127</v>
      </c>
      <c r="Q224" s="23" t="s">
        <v>45</v>
      </c>
      <c r="R224" s="22" t="s">
        <v>20</v>
      </c>
      <c r="S224" s="22" t="s">
        <v>21</v>
      </c>
    </row>
    <row r="226" spans="1:19" x14ac:dyDescent="0.2">
      <c r="A226" s="1" t="s">
        <v>0</v>
      </c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5</v>
      </c>
      <c r="G226" s="3" t="s">
        <v>6</v>
      </c>
      <c r="H226" s="3" t="s">
        <v>5</v>
      </c>
      <c r="I226" s="3" t="s">
        <v>5</v>
      </c>
      <c r="J226" s="3" t="s">
        <v>7</v>
      </c>
      <c r="K226" s="4" t="s">
        <v>8</v>
      </c>
      <c r="L226" s="1" t="s">
        <v>9</v>
      </c>
      <c r="M226" s="1" t="s">
        <v>10</v>
      </c>
      <c r="N226" s="1" t="s">
        <v>11</v>
      </c>
      <c r="O226" s="1" t="s">
        <v>12</v>
      </c>
      <c r="P226" s="1" t="s">
        <v>13</v>
      </c>
      <c r="Q226" s="1" t="s">
        <v>14</v>
      </c>
      <c r="R226" s="1" t="s">
        <v>15</v>
      </c>
      <c r="S226" s="1" t="s">
        <v>16</v>
      </c>
    </row>
    <row r="227" spans="1:19" x14ac:dyDescent="0.2">
      <c r="A227" s="5">
        <v>6</v>
      </c>
      <c r="B227" s="8" t="s">
        <v>17</v>
      </c>
      <c r="C227" s="7" t="s">
        <v>292</v>
      </c>
      <c r="D227" s="8">
        <v>0.30249999999999999</v>
      </c>
      <c r="E227" s="7">
        <v>6.3179999999999996</v>
      </c>
      <c r="F227" s="7">
        <v>3</v>
      </c>
      <c r="G227" s="7">
        <v>-11.268000000000001</v>
      </c>
      <c r="H227" s="7">
        <v>55.779000000000003</v>
      </c>
      <c r="I227" s="7">
        <v>1.196</v>
      </c>
      <c r="J227" s="7">
        <v>9.1229999999999993</v>
      </c>
      <c r="K227" s="10">
        <f t="shared" ref="K227:K254" si="35">(J227*1.1473)+0.154</f>
        <v>10.620817899999999</v>
      </c>
      <c r="L227" s="11">
        <f t="shared" ref="L227:L254" si="36">(F227+0.2709)/0.8282</f>
        <v>3.9494083554696933</v>
      </c>
      <c r="M227" s="11">
        <f t="shared" ref="M227:M254" si="37">(H227+0.9389)/0.4964</f>
        <v>114.25846091861402</v>
      </c>
      <c r="N227" s="11">
        <f t="shared" ref="N227:N254" si="38">(I227+0.2031)/2.6943</f>
        <v>0.51928144601566262</v>
      </c>
      <c r="O227" s="11">
        <f t="shared" ref="O227:O254" si="39">(M227/12)/(L227/14)</f>
        <v>33.752280276049042</v>
      </c>
      <c r="P227" s="8">
        <v>105</v>
      </c>
      <c r="Q227" s="23" t="s">
        <v>75</v>
      </c>
      <c r="R227" s="22" t="s">
        <v>20</v>
      </c>
      <c r="S227" s="22" t="s">
        <v>37</v>
      </c>
    </row>
    <row r="228" spans="1:19" x14ac:dyDescent="0.2">
      <c r="A228" s="5">
        <v>6</v>
      </c>
      <c r="B228" s="8" t="s">
        <v>22</v>
      </c>
      <c r="C228" s="7" t="s">
        <v>293</v>
      </c>
      <c r="D228" s="8">
        <v>0.31690000000000002</v>
      </c>
      <c r="E228" s="7">
        <v>7.4909999999999997</v>
      </c>
      <c r="F228" s="7">
        <v>3.3919999999999999</v>
      </c>
      <c r="G228" s="7">
        <v>-11.086</v>
      </c>
      <c r="H228" s="7">
        <v>59.762</v>
      </c>
      <c r="I228" s="7">
        <v>1.335</v>
      </c>
      <c r="J228" s="7">
        <v>4.4550000000000001</v>
      </c>
      <c r="K228" s="10">
        <f t="shared" si="35"/>
        <v>5.2652215</v>
      </c>
      <c r="L228" s="11">
        <f t="shared" si="36"/>
        <v>4.4227239797150446</v>
      </c>
      <c r="M228" s="11">
        <f t="shared" si="37"/>
        <v>122.28223207091055</v>
      </c>
      <c r="N228" s="11">
        <f t="shared" si="38"/>
        <v>0.57087184055227702</v>
      </c>
      <c r="O228" s="11">
        <f t="shared" si="39"/>
        <v>32.256727920859468</v>
      </c>
      <c r="P228" s="8">
        <v>106</v>
      </c>
      <c r="Q228" s="23" t="s">
        <v>75</v>
      </c>
      <c r="R228" s="22" t="s">
        <v>20</v>
      </c>
      <c r="S228" s="22" t="s">
        <v>37</v>
      </c>
    </row>
    <row r="229" spans="1:19" x14ac:dyDescent="0.2">
      <c r="A229" s="5">
        <v>6</v>
      </c>
      <c r="B229" s="8" t="s">
        <v>25</v>
      </c>
      <c r="C229" s="7" t="s">
        <v>294</v>
      </c>
      <c r="D229" s="8">
        <v>0.32550000000000001</v>
      </c>
      <c r="E229" s="7">
        <v>6.0010000000000003</v>
      </c>
      <c r="F229" s="7">
        <v>3.157</v>
      </c>
      <c r="G229" s="7">
        <v>-11.47</v>
      </c>
      <c r="H229" s="7">
        <v>62.1</v>
      </c>
      <c r="I229" s="7">
        <v>1.3029999999999999</v>
      </c>
      <c r="J229" s="7">
        <v>5.3410000000000002</v>
      </c>
      <c r="K229" s="10">
        <f t="shared" si="35"/>
        <v>6.2817293000000003</v>
      </c>
      <c r="L229" s="11">
        <f t="shared" si="36"/>
        <v>4.138976092731224</v>
      </c>
      <c r="M229" s="11">
        <f t="shared" si="37"/>
        <v>126.99214343271555</v>
      </c>
      <c r="N229" s="11">
        <f t="shared" si="38"/>
        <v>0.55899491519132982</v>
      </c>
      <c r="O229" s="11">
        <f t="shared" si="39"/>
        <v>35.795688922120696</v>
      </c>
      <c r="P229" s="8">
        <v>107</v>
      </c>
      <c r="Q229" s="23" t="s">
        <v>75</v>
      </c>
      <c r="R229" s="22" t="s">
        <v>20</v>
      </c>
      <c r="S229" s="22" t="s">
        <v>37</v>
      </c>
    </row>
    <row r="230" spans="1:19" x14ac:dyDescent="0.2">
      <c r="A230" s="5">
        <v>6</v>
      </c>
      <c r="B230" s="8" t="s">
        <v>79</v>
      </c>
      <c r="C230" s="7" t="s">
        <v>295</v>
      </c>
      <c r="D230" s="8">
        <v>0.30690000000000001</v>
      </c>
      <c r="E230" s="7">
        <v>6.3220000000000001</v>
      </c>
      <c r="F230" s="7">
        <v>2.7349999999999999</v>
      </c>
      <c r="G230" s="7">
        <v>-10.379</v>
      </c>
      <c r="H230" s="7">
        <v>58.145000000000003</v>
      </c>
      <c r="I230" s="7">
        <v>1.147</v>
      </c>
      <c r="J230" s="7">
        <v>9.4960000000000004</v>
      </c>
      <c r="K230" s="10">
        <f t="shared" si="35"/>
        <v>11.0487608</v>
      </c>
      <c r="L230" s="11">
        <f t="shared" si="36"/>
        <v>3.6294373339772998</v>
      </c>
      <c r="M230" s="11">
        <f t="shared" si="37"/>
        <v>119.02477840451249</v>
      </c>
      <c r="N230" s="11">
        <f t="shared" si="38"/>
        <v>0.50109490405671231</v>
      </c>
      <c r="O230" s="11">
        <f t="shared" si="39"/>
        <v>38.259991479108912</v>
      </c>
      <c r="P230" s="8">
        <v>110</v>
      </c>
      <c r="Q230" s="23" t="s">
        <v>75</v>
      </c>
      <c r="R230" s="22" t="s">
        <v>20</v>
      </c>
      <c r="S230" s="22" t="s">
        <v>29</v>
      </c>
    </row>
    <row r="231" spans="1:19" x14ac:dyDescent="0.2">
      <c r="A231" s="5">
        <v>6</v>
      </c>
      <c r="B231" s="8" t="s">
        <v>81</v>
      </c>
      <c r="C231" s="7" t="s">
        <v>296</v>
      </c>
      <c r="D231" s="8">
        <v>0.29580000000000001</v>
      </c>
      <c r="E231" s="7">
        <v>6.16</v>
      </c>
      <c r="F231" s="7">
        <v>2.9129999999999998</v>
      </c>
      <c r="G231" s="7">
        <v>-11.922000000000001</v>
      </c>
      <c r="H231" s="7">
        <v>54.685000000000002</v>
      </c>
      <c r="I231" s="7">
        <v>1.3380000000000001</v>
      </c>
      <c r="J231" s="7">
        <v>8.1539999999999999</v>
      </c>
      <c r="K231" s="10">
        <f t="shared" si="35"/>
        <v>9.5090842000000002</v>
      </c>
      <c r="L231" s="11">
        <f t="shared" si="36"/>
        <v>3.844361265394832</v>
      </c>
      <c r="M231" s="11">
        <f t="shared" si="37"/>
        <v>112.05459307010474</v>
      </c>
      <c r="N231" s="11">
        <f t="shared" si="38"/>
        <v>0.57198530230486588</v>
      </c>
      <c r="O231" s="11">
        <f t="shared" si="39"/>
        <v>34.005742321504293</v>
      </c>
      <c r="P231" s="8">
        <v>111</v>
      </c>
      <c r="Q231" s="23" t="s">
        <v>75</v>
      </c>
      <c r="R231" s="22" t="s">
        <v>20</v>
      </c>
      <c r="S231" s="22" t="s">
        <v>29</v>
      </c>
    </row>
    <row r="232" spans="1:19" x14ac:dyDescent="0.2">
      <c r="A232" s="5">
        <v>6</v>
      </c>
      <c r="B232" s="8" t="s">
        <v>83</v>
      </c>
      <c r="C232" s="7" t="s">
        <v>297</v>
      </c>
      <c r="D232" s="8">
        <v>0.30819999999999997</v>
      </c>
      <c r="E232" s="7">
        <v>5.9240000000000004</v>
      </c>
      <c r="F232" s="7">
        <v>2.4780000000000002</v>
      </c>
      <c r="G232" s="7">
        <v>-11.401999999999999</v>
      </c>
      <c r="H232" s="7">
        <v>49.57</v>
      </c>
      <c r="I232" s="7">
        <v>1.141</v>
      </c>
      <c r="J232" s="7">
        <v>6.6870000000000003</v>
      </c>
      <c r="K232" s="10">
        <f t="shared" si="35"/>
        <v>7.8259951000000001</v>
      </c>
      <c r="L232" s="11">
        <f t="shared" si="36"/>
        <v>3.3191258150205267</v>
      </c>
      <c r="M232" s="11">
        <f t="shared" si="37"/>
        <v>101.75040290088637</v>
      </c>
      <c r="N232" s="11">
        <f t="shared" si="38"/>
        <v>0.4988679805515347</v>
      </c>
      <c r="O232" s="11">
        <f t="shared" si="39"/>
        <v>35.765080927983227</v>
      </c>
      <c r="P232" s="8">
        <v>112</v>
      </c>
      <c r="Q232" s="23" t="s">
        <v>75</v>
      </c>
      <c r="R232" s="22" t="s">
        <v>20</v>
      </c>
      <c r="S232" s="22" t="s">
        <v>29</v>
      </c>
    </row>
    <row r="233" spans="1:19" x14ac:dyDescent="0.2">
      <c r="A233" s="13"/>
      <c r="B233" s="18"/>
      <c r="C233" s="15" t="s">
        <v>38</v>
      </c>
      <c r="D233" s="15">
        <v>0.14280000000000001</v>
      </c>
      <c r="E233" s="15">
        <v>3.738</v>
      </c>
      <c r="F233" s="15">
        <v>3.919</v>
      </c>
      <c r="G233" s="15">
        <v>-28.957000000000001</v>
      </c>
      <c r="H233" s="15">
        <v>30.087</v>
      </c>
      <c r="I233" s="15">
        <v>1.002</v>
      </c>
      <c r="J233" s="15">
        <v>5.6870000000000003</v>
      </c>
      <c r="K233" s="16">
        <f t="shared" si="35"/>
        <v>6.6786951000000006</v>
      </c>
      <c r="L233" s="17">
        <f t="shared" si="36"/>
        <v>5.0590437092489733</v>
      </c>
      <c r="M233" s="17">
        <f t="shared" si="37"/>
        <v>62.50181305398872</v>
      </c>
      <c r="N233" s="17">
        <f t="shared" si="38"/>
        <v>0.4472775860149204</v>
      </c>
      <c r="O233" s="17">
        <f t="shared" si="39"/>
        <v>14.413550482477474</v>
      </c>
      <c r="P233" s="18"/>
      <c r="Q233" s="18"/>
      <c r="R233" s="13"/>
      <c r="S233" s="13"/>
    </row>
    <row r="234" spans="1:19" x14ac:dyDescent="0.2">
      <c r="A234" s="5">
        <v>6</v>
      </c>
      <c r="B234" s="8" t="s">
        <v>85</v>
      </c>
      <c r="C234" s="7" t="s">
        <v>298</v>
      </c>
      <c r="D234" s="8">
        <v>0.31709999999999999</v>
      </c>
      <c r="E234" s="7">
        <v>7.149</v>
      </c>
      <c r="F234" s="7">
        <v>2.6539999999999999</v>
      </c>
      <c r="G234" s="7">
        <v>-10.595000000000001</v>
      </c>
      <c r="H234" s="7">
        <v>48.881999999999998</v>
      </c>
      <c r="I234" s="7">
        <v>1.544</v>
      </c>
      <c r="J234" s="7">
        <v>10.24</v>
      </c>
      <c r="K234" s="10">
        <f t="shared" si="35"/>
        <v>11.902352</v>
      </c>
      <c r="L234" s="11">
        <f t="shared" si="36"/>
        <v>3.5316348708041536</v>
      </c>
      <c r="M234" s="11">
        <f t="shared" si="37"/>
        <v>100.36442385173247</v>
      </c>
      <c r="N234" s="11">
        <f t="shared" si="38"/>
        <v>0.64844300931596333</v>
      </c>
      <c r="O234" s="11">
        <f t="shared" si="39"/>
        <v>33.155134126410807</v>
      </c>
      <c r="P234" s="8">
        <v>113</v>
      </c>
      <c r="Q234" s="23" t="s">
        <v>75</v>
      </c>
      <c r="R234" s="22" t="s">
        <v>20</v>
      </c>
      <c r="S234" s="22" t="s">
        <v>21</v>
      </c>
    </row>
    <row r="235" spans="1:19" x14ac:dyDescent="0.2">
      <c r="A235" s="5">
        <v>6</v>
      </c>
      <c r="B235" s="8" t="s">
        <v>87</v>
      </c>
      <c r="C235" s="7" t="s">
        <v>299</v>
      </c>
      <c r="D235" s="8">
        <v>0.28920000000000001</v>
      </c>
      <c r="E235" s="7">
        <v>6.9630000000000001</v>
      </c>
      <c r="F235" s="7">
        <v>3.585</v>
      </c>
      <c r="G235" s="7">
        <v>-9.7530000000000001</v>
      </c>
      <c r="H235" s="7">
        <v>60.595999999999997</v>
      </c>
      <c r="I235" s="7">
        <v>2.1509999999999998</v>
      </c>
      <c r="J235" s="7">
        <v>10.79</v>
      </c>
      <c r="K235" s="10">
        <f t="shared" si="35"/>
        <v>12.533366999999998</v>
      </c>
      <c r="L235" s="11">
        <f t="shared" si="36"/>
        <v>4.6557594783868632</v>
      </c>
      <c r="M235" s="11">
        <f t="shared" si="37"/>
        <v>123.96232876712327</v>
      </c>
      <c r="N235" s="11">
        <f t="shared" si="38"/>
        <v>0.87373343725643016</v>
      </c>
      <c r="O235" s="11">
        <f t="shared" si="39"/>
        <v>31.063184764236642</v>
      </c>
      <c r="P235" s="8">
        <v>114</v>
      </c>
      <c r="Q235" s="23" t="s">
        <v>75</v>
      </c>
      <c r="R235" s="22" t="s">
        <v>20</v>
      </c>
      <c r="S235" s="22" t="s">
        <v>21</v>
      </c>
    </row>
    <row r="236" spans="1:19" x14ac:dyDescent="0.2">
      <c r="A236" s="5">
        <v>6</v>
      </c>
      <c r="B236" s="8" t="s">
        <v>89</v>
      </c>
      <c r="C236" s="7" t="s">
        <v>300</v>
      </c>
      <c r="D236" s="8">
        <v>0.30409999999999998</v>
      </c>
      <c r="E236" s="7">
        <v>6.8940000000000001</v>
      </c>
      <c r="F236" s="7">
        <v>2.2130000000000001</v>
      </c>
      <c r="G236" s="7">
        <v>-12.21</v>
      </c>
      <c r="H236" s="7">
        <v>44.536000000000001</v>
      </c>
      <c r="I236" s="7">
        <v>0.79200000000000004</v>
      </c>
      <c r="J236" s="7">
        <v>8.1980000000000004</v>
      </c>
      <c r="K236" s="10">
        <f t="shared" si="35"/>
        <v>9.5595654000000003</v>
      </c>
      <c r="L236" s="11">
        <f t="shared" si="36"/>
        <v>2.9991547935281333</v>
      </c>
      <c r="M236" s="11">
        <f t="shared" si="37"/>
        <v>91.609387590652688</v>
      </c>
      <c r="N236" s="11">
        <f t="shared" si="38"/>
        <v>0.36933526333370448</v>
      </c>
      <c r="O236" s="11">
        <f t="shared" si="39"/>
        <v>35.635912853311993</v>
      </c>
      <c r="P236" s="8">
        <v>115</v>
      </c>
      <c r="Q236" s="23" t="s">
        <v>75</v>
      </c>
      <c r="R236" s="22" t="s">
        <v>20</v>
      </c>
      <c r="S236" s="22" t="s">
        <v>21</v>
      </c>
    </row>
    <row r="237" spans="1:19" x14ac:dyDescent="0.2">
      <c r="A237" s="5">
        <v>6</v>
      </c>
      <c r="B237" s="8" t="s">
        <v>91</v>
      </c>
      <c r="C237" s="7" t="s">
        <v>301</v>
      </c>
      <c r="D237" s="8">
        <v>0.2918</v>
      </c>
      <c r="E237" s="7">
        <v>7.6980000000000004</v>
      </c>
      <c r="F237" s="7">
        <v>2.6629999999999998</v>
      </c>
      <c r="G237" s="7">
        <v>-11.901</v>
      </c>
      <c r="H237" s="7">
        <v>60.218000000000004</v>
      </c>
      <c r="I237" s="7">
        <v>1.4830000000000001</v>
      </c>
      <c r="J237" s="7">
        <v>10.571999999999999</v>
      </c>
      <c r="K237" s="10">
        <f t="shared" si="35"/>
        <v>12.283255599999999</v>
      </c>
      <c r="L237" s="11">
        <f t="shared" si="36"/>
        <v>3.542501811156725</v>
      </c>
      <c r="M237" s="11">
        <f t="shared" si="37"/>
        <v>123.20084609186141</v>
      </c>
      <c r="N237" s="11">
        <f t="shared" si="38"/>
        <v>0.62580262034665779</v>
      </c>
      <c r="O237" s="11">
        <f t="shared" si="39"/>
        <v>40.574240495186011</v>
      </c>
      <c r="P237" s="8">
        <v>116</v>
      </c>
      <c r="Q237" s="23" t="s">
        <v>75</v>
      </c>
      <c r="R237" s="22" t="s">
        <v>20</v>
      </c>
      <c r="S237" s="22" t="s">
        <v>21</v>
      </c>
    </row>
    <row r="238" spans="1:19" x14ac:dyDescent="0.2">
      <c r="A238" s="5">
        <v>6</v>
      </c>
      <c r="B238" s="8" t="s">
        <v>96</v>
      </c>
      <c r="C238" s="7" t="s">
        <v>302</v>
      </c>
      <c r="D238" s="8">
        <v>7.2099999999999997E-2</v>
      </c>
      <c r="E238" s="9">
        <v>7.1379999999999999</v>
      </c>
      <c r="F238" s="9">
        <v>1.167</v>
      </c>
      <c r="G238" s="7">
        <v>-13.615</v>
      </c>
      <c r="H238" s="7">
        <v>20.157</v>
      </c>
      <c r="I238" s="9">
        <v>8.1159999999999997</v>
      </c>
      <c r="J238" s="9">
        <v>20.126999999999999</v>
      </c>
      <c r="K238" s="10">
        <f t="shared" si="35"/>
        <v>23.245707099999997</v>
      </c>
      <c r="L238" s="11">
        <f t="shared" si="36"/>
        <v>1.7361748369958945</v>
      </c>
      <c r="M238" s="11">
        <f t="shared" si="37"/>
        <v>42.497784045124902</v>
      </c>
      <c r="N238" s="11">
        <f t="shared" si="38"/>
        <v>3.0876665553204909</v>
      </c>
      <c r="O238" s="11">
        <f t="shared" si="39"/>
        <v>28.557462644969185</v>
      </c>
      <c r="P238" s="8">
        <v>128</v>
      </c>
      <c r="Q238" s="23" t="s">
        <v>19</v>
      </c>
      <c r="R238" s="22" t="s">
        <v>20</v>
      </c>
      <c r="S238" s="22" t="s">
        <v>37</v>
      </c>
    </row>
    <row r="239" spans="1:19" x14ac:dyDescent="0.2">
      <c r="A239" s="5">
        <v>6</v>
      </c>
      <c r="B239" s="8" t="s">
        <v>99</v>
      </c>
      <c r="C239" s="7" t="s">
        <v>303</v>
      </c>
      <c r="D239" s="8">
        <v>9.4600000000000004E-2</v>
      </c>
      <c r="E239" s="8"/>
      <c r="F239" s="12" t="s">
        <v>304</v>
      </c>
      <c r="G239" s="7">
        <v>-12.872</v>
      </c>
      <c r="H239" s="7">
        <v>6.0270000000000001</v>
      </c>
      <c r="I239" s="7">
        <v>3.8759999999999999</v>
      </c>
      <c r="J239" s="7">
        <v>18.899999999999999</v>
      </c>
      <c r="K239" s="10">
        <f t="shared" si="35"/>
        <v>21.837969999999999</v>
      </c>
      <c r="L239" s="11" t="e">
        <f t="shared" si="36"/>
        <v>#VALUE!</v>
      </c>
      <c r="M239" s="11">
        <f t="shared" si="37"/>
        <v>14.032836422240129</v>
      </c>
      <c r="N239" s="11">
        <f t="shared" si="38"/>
        <v>1.5139739449949892</v>
      </c>
      <c r="O239" s="11" t="e">
        <f t="shared" si="39"/>
        <v>#VALUE!</v>
      </c>
      <c r="P239" s="8">
        <v>129</v>
      </c>
      <c r="Q239" s="23" t="s">
        <v>19</v>
      </c>
      <c r="R239" s="22" t="s">
        <v>20</v>
      </c>
      <c r="S239" s="22" t="s">
        <v>37</v>
      </c>
    </row>
    <row r="240" spans="1:19" x14ac:dyDescent="0.2">
      <c r="A240" s="13"/>
      <c r="B240" s="18"/>
      <c r="C240" s="15" t="s">
        <v>38</v>
      </c>
      <c r="D240" s="15">
        <v>0.13020000000000001</v>
      </c>
      <c r="E240" s="15">
        <v>3.8940000000000001</v>
      </c>
      <c r="F240" s="15">
        <v>3.5</v>
      </c>
      <c r="G240" s="15">
        <v>-29.001000000000001</v>
      </c>
      <c r="H240" s="15">
        <v>27.085999999999999</v>
      </c>
      <c r="I240" s="15">
        <v>0.874</v>
      </c>
      <c r="J240" s="15">
        <v>5.91</v>
      </c>
      <c r="K240" s="16">
        <f t="shared" si="35"/>
        <v>6.9345429999999997</v>
      </c>
      <c r="L240" s="17">
        <f t="shared" si="36"/>
        <v>4.5531272639459068</v>
      </c>
      <c r="M240" s="17">
        <f t="shared" si="37"/>
        <v>56.456285253827552</v>
      </c>
      <c r="N240" s="17">
        <f t="shared" si="38"/>
        <v>0.39976988457113161</v>
      </c>
      <c r="O240" s="17">
        <f t="shared" si="39"/>
        <v>14.466027921298179</v>
      </c>
      <c r="P240" s="18"/>
      <c r="Q240" s="18"/>
      <c r="R240" s="13"/>
      <c r="S240" s="13"/>
    </row>
    <row r="241" spans="1:19" x14ac:dyDescent="0.2">
      <c r="A241" s="5">
        <v>6</v>
      </c>
      <c r="B241" s="8" t="s">
        <v>30</v>
      </c>
      <c r="C241" s="7" t="s">
        <v>305</v>
      </c>
      <c r="D241" s="8">
        <v>8.8800000000000004E-2</v>
      </c>
      <c r="E241" s="7">
        <v>7.8559999999999999</v>
      </c>
      <c r="F241" s="7">
        <v>0.79500000000000004</v>
      </c>
      <c r="G241" s="7">
        <v>-14.189</v>
      </c>
      <c r="H241" s="7">
        <v>14.635999999999999</v>
      </c>
      <c r="I241" s="9">
        <v>8.4019999999999992</v>
      </c>
      <c r="J241" s="9">
        <v>20.206</v>
      </c>
      <c r="K241" s="10">
        <f t="shared" si="35"/>
        <v>23.336343799999998</v>
      </c>
      <c r="L241" s="11">
        <f t="shared" si="36"/>
        <v>1.2870079690895919</v>
      </c>
      <c r="M241" s="11">
        <f t="shared" si="37"/>
        <v>31.375705076551167</v>
      </c>
      <c r="N241" s="11">
        <f t="shared" si="38"/>
        <v>3.1938165757339561</v>
      </c>
      <c r="O241" s="11">
        <f t="shared" si="39"/>
        <v>28.441928981892879</v>
      </c>
      <c r="P241" s="8">
        <v>136</v>
      </c>
      <c r="Q241" s="23" t="s">
        <v>19</v>
      </c>
      <c r="R241" s="22" t="s">
        <v>20</v>
      </c>
      <c r="S241" s="22" t="s">
        <v>21</v>
      </c>
    </row>
    <row r="242" spans="1:19" x14ac:dyDescent="0.2">
      <c r="A242" s="5">
        <v>6</v>
      </c>
      <c r="B242" s="8" t="s">
        <v>33</v>
      </c>
      <c r="C242" s="7" t="s">
        <v>306</v>
      </c>
      <c r="D242" s="8">
        <v>8.8700000000000001E-2</v>
      </c>
      <c r="E242" s="7">
        <v>6.4489999999999998</v>
      </c>
      <c r="F242" s="7">
        <v>0.504</v>
      </c>
      <c r="G242" s="7">
        <v>-12.912000000000001</v>
      </c>
      <c r="H242" s="7">
        <v>13.997999999999999</v>
      </c>
      <c r="I242" s="7">
        <v>6.7149999999999999</v>
      </c>
      <c r="J242" s="7">
        <v>20.227</v>
      </c>
      <c r="K242" s="10">
        <f t="shared" si="35"/>
        <v>23.360437099999999</v>
      </c>
      <c r="L242" s="11">
        <f t="shared" si="36"/>
        <v>0.93564356435643548</v>
      </c>
      <c r="M242" s="11">
        <f t="shared" si="37"/>
        <v>30.090451248992746</v>
      </c>
      <c r="N242" s="11">
        <f t="shared" si="38"/>
        <v>2.5676799168615223</v>
      </c>
      <c r="O242" s="11">
        <f t="shared" si="39"/>
        <v>37.520192298126766</v>
      </c>
      <c r="P242" s="8">
        <v>137</v>
      </c>
      <c r="Q242" s="23" t="s">
        <v>19</v>
      </c>
      <c r="R242" s="22" t="s">
        <v>20</v>
      </c>
      <c r="S242" s="22" t="s">
        <v>21</v>
      </c>
    </row>
    <row r="243" spans="1:19" x14ac:dyDescent="0.2">
      <c r="A243" s="5">
        <v>6</v>
      </c>
      <c r="B243" s="8" t="s">
        <v>35</v>
      </c>
      <c r="C243" s="7" t="s">
        <v>307</v>
      </c>
      <c r="D243" s="8">
        <v>8.43E-2</v>
      </c>
      <c r="E243" s="12"/>
      <c r="F243" s="12" t="s">
        <v>304</v>
      </c>
      <c r="G243" s="7">
        <v>-14.667999999999999</v>
      </c>
      <c r="H243" s="7">
        <v>7.2919999999999998</v>
      </c>
      <c r="I243" s="7">
        <v>3.407</v>
      </c>
      <c r="J243" s="7">
        <v>18.919</v>
      </c>
      <c r="K243" s="10">
        <f t="shared" si="35"/>
        <v>21.8597687</v>
      </c>
      <c r="L243" s="11" t="e">
        <f t="shared" si="36"/>
        <v>#VALUE!</v>
      </c>
      <c r="M243" s="11">
        <f t="shared" si="37"/>
        <v>16.581184528605963</v>
      </c>
      <c r="N243" s="11">
        <f t="shared" si="38"/>
        <v>1.3399027576736071</v>
      </c>
      <c r="O243" s="11" t="e">
        <f t="shared" si="39"/>
        <v>#VALUE!</v>
      </c>
      <c r="P243" s="8">
        <v>132</v>
      </c>
      <c r="Q243" s="23" t="s">
        <v>19</v>
      </c>
      <c r="R243" s="22" t="s">
        <v>20</v>
      </c>
      <c r="S243" s="22" t="s">
        <v>29</v>
      </c>
    </row>
    <row r="244" spans="1:19" x14ac:dyDescent="0.2">
      <c r="A244" s="5">
        <v>6</v>
      </c>
      <c r="B244" s="8" t="s">
        <v>104</v>
      </c>
      <c r="C244" s="7" t="s">
        <v>308</v>
      </c>
      <c r="D244" s="8">
        <v>8.0100000000000005E-2</v>
      </c>
      <c r="E244" s="7">
        <v>9.4540000000000006</v>
      </c>
      <c r="F244" s="7">
        <v>0.84599999999999997</v>
      </c>
      <c r="G244" s="7">
        <v>-17.247</v>
      </c>
      <c r="H244" s="7">
        <v>13.036</v>
      </c>
      <c r="I244" s="7">
        <v>6.8010000000000002</v>
      </c>
      <c r="J244" s="7">
        <v>19.782</v>
      </c>
      <c r="K244" s="10">
        <f t="shared" si="35"/>
        <v>22.8498886</v>
      </c>
      <c r="L244" s="11">
        <f t="shared" si="36"/>
        <v>1.3485872977541655</v>
      </c>
      <c r="M244" s="11">
        <f t="shared" si="37"/>
        <v>28.152497985495568</v>
      </c>
      <c r="N244" s="11">
        <f t="shared" si="38"/>
        <v>2.5995991537690681</v>
      </c>
      <c r="O244" s="11">
        <f t="shared" si="39"/>
        <v>24.354805237877457</v>
      </c>
      <c r="P244" s="8">
        <v>133</v>
      </c>
      <c r="Q244" s="23" t="s">
        <v>19</v>
      </c>
      <c r="R244" s="22" t="s">
        <v>20</v>
      </c>
      <c r="S244" s="22" t="s">
        <v>29</v>
      </c>
    </row>
    <row r="245" spans="1:19" x14ac:dyDescent="0.2">
      <c r="A245" s="5">
        <v>6</v>
      </c>
      <c r="B245" s="8" t="s">
        <v>106</v>
      </c>
      <c r="C245" s="7" t="s">
        <v>309</v>
      </c>
      <c r="D245" s="8">
        <v>9.5600000000000004E-2</v>
      </c>
      <c r="E245" s="12"/>
      <c r="F245" s="12" t="s">
        <v>304</v>
      </c>
      <c r="G245" s="7">
        <v>-12.914</v>
      </c>
      <c r="H245" s="7">
        <v>8.4309999999999992</v>
      </c>
      <c r="I245" s="7">
        <v>4.7460000000000004</v>
      </c>
      <c r="J245" s="7">
        <v>19.471</v>
      </c>
      <c r="K245" s="10">
        <f t="shared" si="35"/>
        <v>22.493078300000001</v>
      </c>
      <c r="L245" s="11" t="e">
        <f t="shared" si="36"/>
        <v>#VALUE!</v>
      </c>
      <c r="M245" s="11">
        <f t="shared" si="37"/>
        <v>18.875705076551167</v>
      </c>
      <c r="N245" s="11">
        <f t="shared" si="38"/>
        <v>1.836877853245741</v>
      </c>
      <c r="O245" s="11" t="e">
        <f t="shared" si="39"/>
        <v>#VALUE!</v>
      </c>
      <c r="P245" s="8">
        <v>134</v>
      </c>
      <c r="Q245" s="23" t="s">
        <v>19</v>
      </c>
      <c r="R245" s="22" t="s">
        <v>20</v>
      </c>
      <c r="S245" s="22" t="s">
        <v>29</v>
      </c>
    </row>
    <row r="246" spans="1:19" x14ac:dyDescent="0.2">
      <c r="A246" s="5">
        <v>6</v>
      </c>
      <c r="B246" s="8" t="s">
        <v>108</v>
      </c>
      <c r="C246" s="7" t="s">
        <v>310</v>
      </c>
      <c r="D246" s="8">
        <v>8.5500000000000007E-2</v>
      </c>
      <c r="E246" s="7">
        <v>5.9889999999999999</v>
      </c>
      <c r="F246" s="7">
        <v>0.72199999999999998</v>
      </c>
      <c r="G246" s="7">
        <v>-12.525</v>
      </c>
      <c r="H246" s="7">
        <v>18.498000000000001</v>
      </c>
      <c r="I246" s="9">
        <v>12.151999999999999</v>
      </c>
      <c r="J246" s="9">
        <v>-102.429</v>
      </c>
      <c r="K246" s="10">
        <f t="shared" si="35"/>
        <v>-117.3627917</v>
      </c>
      <c r="L246" s="11">
        <f t="shared" si="36"/>
        <v>1.1988650084520645</v>
      </c>
      <c r="M246" s="11">
        <f t="shared" si="37"/>
        <v>39.155721192586626</v>
      </c>
      <c r="N246" s="11">
        <f t="shared" si="38"/>
        <v>4.5856437664699543</v>
      </c>
      <c r="O246" s="11">
        <f t="shared" si="39"/>
        <v>38.104102132121689</v>
      </c>
      <c r="P246" s="8">
        <v>135</v>
      </c>
      <c r="Q246" s="23" t="s">
        <v>19</v>
      </c>
      <c r="R246" s="22" t="s">
        <v>20</v>
      </c>
      <c r="S246" s="22" t="s">
        <v>29</v>
      </c>
    </row>
    <row r="247" spans="1:19" x14ac:dyDescent="0.2">
      <c r="A247" s="13">
        <v>6</v>
      </c>
      <c r="B247" s="18"/>
      <c r="C247" s="15" t="s">
        <v>38</v>
      </c>
      <c r="D247" s="15">
        <v>0.21920000000000001</v>
      </c>
      <c r="E247" s="15">
        <v>3.5539999999999998</v>
      </c>
      <c r="F247" s="15">
        <v>6.5419999999999998</v>
      </c>
      <c r="G247" s="15">
        <v>-28.919</v>
      </c>
      <c r="H247" s="15">
        <v>49.003999999999998</v>
      </c>
      <c r="I247" s="15">
        <v>1.8160000000000001</v>
      </c>
      <c r="J247" s="15">
        <v>6.1150000000000002</v>
      </c>
      <c r="K247" s="16">
        <f t="shared" si="35"/>
        <v>7.1697395000000004</v>
      </c>
      <c r="L247" s="17">
        <f t="shared" si="36"/>
        <v>8.2261531031151893</v>
      </c>
      <c r="M247" s="17">
        <f t="shared" si="37"/>
        <v>100.61019339242544</v>
      </c>
      <c r="N247" s="17">
        <f t="shared" si="38"/>
        <v>0.7493968748840143</v>
      </c>
      <c r="O247" s="17">
        <f t="shared" si="39"/>
        <v>14.268948983380728</v>
      </c>
      <c r="P247" s="18"/>
      <c r="Q247" s="18"/>
      <c r="R247" s="13"/>
      <c r="S247" s="13"/>
    </row>
    <row r="248" spans="1:19" x14ac:dyDescent="0.2">
      <c r="A248" s="5">
        <v>6</v>
      </c>
      <c r="B248" s="8" t="s">
        <v>110</v>
      </c>
      <c r="C248" s="7" t="s">
        <v>311</v>
      </c>
      <c r="D248" s="8">
        <v>7.7499999999999999E-2</v>
      </c>
      <c r="E248" s="7">
        <v>7.0380000000000003</v>
      </c>
      <c r="F248" s="7">
        <v>3.3650000000000002</v>
      </c>
      <c r="G248" s="7">
        <v>-26.265999999999998</v>
      </c>
      <c r="H248" s="7">
        <v>14.456</v>
      </c>
      <c r="I248" s="7">
        <v>4.327</v>
      </c>
      <c r="J248" s="7">
        <v>19.143999999999998</v>
      </c>
      <c r="K248" s="10">
        <f t="shared" si="35"/>
        <v>22.117911199999998</v>
      </c>
      <c r="L248" s="11">
        <f t="shared" si="36"/>
        <v>4.390123158657329</v>
      </c>
      <c r="M248" s="11">
        <f t="shared" si="37"/>
        <v>31.013094278807412</v>
      </c>
      <c r="N248" s="11">
        <f t="shared" si="38"/>
        <v>1.6813643618008387</v>
      </c>
      <c r="O248" s="11">
        <f t="shared" si="39"/>
        <v>8.2416693148857263</v>
      </c>
      <c r="P248" s="8">
        <v>118</v>
      </c>
      <c r="Q248" s="23" t="s">
        <v>45</v>
      </c>
      <c r="R248" s="22" t="s">
        <v>20</v>
      </c>
      <c r="S248" s="22" t="s">
        <v>37</v>
      </c>
    </row>
    <row r="249" spans="1:19" x14ac:dyDescent="0.2">
      <c r="A249" s="5">
        <v>6</v>
      </c>
      <c r="B249" s="8" t="s">
        <v>112</v>
      </c>
      <c r="C249" s="7" t="s">
        <v>312</v>
      </c>
      <c r="D249" s="8">
        <v>7.2999999999999995E-2</v>
      </c>
      <c r="E249" s="9">
        <v>6.4189999999999996</v>
      </c>
      <c r="F249" s="9">
        <v>1.546</v>
      </c>
      <c r="G249" s="7">
        <v>-24.666</v>
      </c>
      <c r="H249" s="7">
        <v>12.385999999999999</v>
      </c>
      <c r="I249" s="7">
        <v>3.6190000000000002</v>
      </c>
      <c r="J249" s="7">
        <v>18.998999999999999</v>
      </c>
      <c r="K249" s="10">
        <f t="shared" si="35"/>
        <v>21.951552699999997</v>
      </c>
      <c r="L249" s="11">
        <f t="shared" si="36"/>
        <v>2.1937937696208643</v>
      </c>
      <c r="M249" s="11">
        <f t="shared" si="37"/>
        <v>26.843070104754229</v>
      </c>
      <c r="N249" s="11">
        <f t="shared" si="38"/>
        <v>1.4185873881898823</v>
      </c>
      <c r="O249" s="11">
        <f t="shared" si="39"/>
        <v>14.275232045911736</v>
      </c>
      <c r="P249" s="8">
        <v>117</v>
      </c>
      <c r="Q249" s="23" t="s">
        <v>45</v>
      </c>
      <c r="R249" s="22" t="s">
        <v>20</v>
      </c>
      <c r="S249" s="22" t="s">
        <v>37</v>
      </c>
    </row>
    <row r="250" spans="1:19" x14ac:dyDescent="0.2">
      <c r="A250" s="5">
        <v>6</v>
      </c>
      <c r="B250" s="8" t="s">
        <v>114</v>
      </c>
      <c r="C250" s="7" t="s">
        <v>313</v>
      </c>
      <c r="D250" s="8">
        <v>8.1600000000000006E-2</v>
      </c>
      <c r="E250" s="7">
        <v>6.8040000000000003</v>
      </c>
      <c r="F250" s="7">
        <v>2.4750000000000001</v>
      </c>
      <c r="G250" s="7">
        <v>-24.594999999999999</v>
      </c>
      <c r="H250" s="7">
        <v>13.393000000000001</v>
      </c>
      <c r="I250" s="7">
        <v>4.9109999999999996</v>
      </c>
      <c r="J250" s="7">
        <v>19.591000000000001</v>
      </c>
      <c r="K250" s="10">
        <f t="shared" si="35"/>
        <v>22.6307543</v>
      </c>
      <c r="L250" s="11">
        <f t="shared" si="36"/>
        <v>3.3155035015696694</v>
      </c>
      <c r="M250" s="11">
        <f t="shared" si="37"/>
        <v>28.87167606768735</v>
      </c>
      <c r="N250" s="11">
        <f t="shared" si="38"/>
        <v>1.8981182496381248</v>
      </c>
      <c r="O250" s="11">
        <f t="shared" si="39"/>
        <v>10.159428896100284</v>
      </c>
      <c r="P250" s="8">
        <v>121</v>
      </c>
      <c r="Q250" s="23" t="s">
        <v>45</v>
      </c>
      <c r="R250" s="22" t="s">
        <v>20</v>
      </c>
      <c r="S250" s="22" t="s">
        <v>29</v>
      </c>
    </row>
    <row r="251" spans="1:19" x14ac:dyDescent="0.2">
      <c r="A251" s="5">
        <v>6</v>
      </c>
      <c r="B251" s="8" t="s">
        <v>117</v>
      </c>
      <c r="C251" s="7" t="s">
        <v>314</v>
      </c>
      <c r="D251" s="8">
        <v>7.3800000000000004E-2</v>
      </c>
      <c r="E251" s="7">
        <v>8.7639999999999993</v>
      </c>
      <c r="F251" s="7">
        <v>4.5650000000000004</v>
      </c>
      <c r="G251" s="7">
        <v>-20.324999999999999</v>
      </c>
      <c r="H251" s="7">
        <v>22.76</v>
      </c>
      <c r="I251" s="9">
        <v>5.2809999999999997</v>
      </c>
      <c r="J251" s="9">
        <v>18.361999999999998</v>
      </c>
      <c r="K251" s="10">
        <f t="shared" si="35"/>
        <v>21.220722599999998</v>
      </c>
      <c r="L251" s="11">
        <f t="shared" si="36"/>
        <v>5.8390485390002418</v>
      </c>
      <c r="M251" s="11">
        <f t="shared" si="37"/>
        <v>47.74153908138598</v>
      </c>
      <c r="N251" s="11">
        <f t="shared" si="38"/>
        <v>2.0354451991240765</v>
      </c>
      <c r="O251" s="11">
        <f t="shared" si="39"/>
        <v>9.5389620225958307</v>
      </c>
      <c r="P251" s="8">
        <v>122</v>
      </c>
      <c r="Q251" s="23" t="s">
        <v>45</v>
      </c>
      <c r="R251" s="22" t="s">
        <v>20</v>
      </c>
      <c r="S251" s="22" t="s">
        <v>29</v>
      </c>
    </row>
    <row r="252" spans="1:19" x14ac:dyDescent="0.2">
      <c r="A252" s="13"/>
      <c r="B252" s="18"/>
      <c r="C252" s="15" t="s">
        <v>38</v>
      </c>
      <c r="D252" s="15">
        <v>0.2044</v>
      </c>
      <c r="E252" s="15">
        <v>3.4849999999999999</v>
      </c>
      <c r="F252" s="15">
        <v>6.0919999999999996</v>
      </c>
      <c r="G252" s="15">
        <v>-28.928999999999998</v>
      </c>
      <c r="H252" s="15">
        <v>46.142000000000003</v>
      </c>
      <c r="I252" s="15">
        <v>1.671</v>
      </c>
      <c r="J252" s="15">
        <v>6.3730000000000002</v>
      </c>
      <c r="K252" s="16">
        <f t="shared" si="35"/>
        <v>7.4657429000000004</v>
      </c>
      <c r="L252" s="17">
        <f t="shared" si="36"/>
        <v>7.6828060854865967</v>
      </c>
      <c r="M252" s="17">
        <f t="shared" si="37"/>
        <v>94.84468170829976</v>
      </c>
      <c r="N252" s="17">
        <f t="shared" si="38"/>
        <v>0.6955795568422225</v>
      </c>
      <c r="O252" s="17">
        <f t="shared" si="39"/>
        <v>14.402566904391003</v>
      </c>
      <c r="P252" s="18"/>
      <c r="Q252" s="18"/>
      <c r="R252" s="18"/>
      <c r="S252" s="18"/>
    </row>
    <row r="253" spans="1:19" x14ac:dyDescent="0.2">
      <c r="A253" s="5"/>
      <c r="B253" s="8"/>
      <c r="C253" s="7" t="s">
        <v>315</v>
      </c>
      <c r="D253" s="7">
        <v>6.4899999999999999E-2</v>
      </c>
      <c r="E253" s="7">
        <v>11.957000000000001</v>
      </c>
      <c r="F253" s="7">
        <v>6.8159999999999998</v>
      </c>
      <c r="G253" s="7">
        <v>-16.510999999999999</v>
      </c>
      <c r="H253" s="7">
        <v>12.75</v>
      </c>
      <c r="I253" s="7">
        <v>1.673</v>
      </c>
      <c r="J253" s="7">
        <v>17.803999999999998</v>
      </c>
      <c r="K253" s="10">
        <f t="shared" si="35"/>
        <v>20.580529199999997</v>
      </c>
      <c r="L253" s="11">
        <f t="shared" si="36"/>
        <v>8.5569910649601546</v>
      </c>
      <c r="M253" s="11">
        <f t="shared" si="37"/>
        <v>27.576349717969379</v>
      </c>
      <c r="N253" s="11">
        <f t="shared" si="38"/>
        <v>0.69632186467728163</v>
      </c>
      <c r="O253" s="11">
        <f t="shared" si="39"/>
        <v>3.7597804835907489</v>
      </c>
      <c r="P253" s="8"/>
      <c r="Q253" s="8"/>
      <c r="R253" s="8"/>
      <c r="S253" s="8"/>
    </row>
    <row r="254" spans="1:19" x14ac:dyDescent="0.2">
      <c r="A254" s="13"/>
      <c r="B254" s="18"/>
      <c r="C254" s="15" t="s">
        <v>38</v>
      </c>
      <c r="D254" s="15">
        <v>0.31359999999999999</v>
      </c>
      <c r="E254" s="15">
        <v>3.6850000000000001</v>
      </c>
      <c r="F254" s="15">
        <v>8.9610000000000003</v>
      </c>
      <c r="G254" s="15">
        <v>-28.812999999999999</v>
      </c>
      <c r="H254" s="15">
        <v>67.734999999999999</v>
      </c>
      <c r="I254" s="15">
        <v>2.536</v>
      </c>
      <c r="J254" s="15">
        <v>6.4119999999999999</v>
      </c>
      <c r="K254" s="16">
        <f t="shared" si="35"/>
        <v>7.5104875999999994</v>
      </c>
      <c r="L254" s="17">
        <f t="shared" si="36"/>
        <v>11.14694518232311</v>
      </c>
      <c r="M254" s="17">
        <f t="shared" si="37"/>
        <v>138.34387590652699</v>
      </c>
      <c r="N254" s="17">
        <f t="shared" si="38"/>
        <v>1.0166276955053259</v>
      </c>
      <c r="O254" s="17">
        <f t="shared" si="39"/>
        <v>14.479409911655953</v>
      </c>
      <c r="P254" s="18"/>
      <c r="Q254" s="18"/>
      <c r="R254" s="18"/>
      <c r="S254" s="18"/>
    </row>
  </sheetData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2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59">
        <v>1</v>
      </c>
      <c r="B2" s="87" t="s">
        <v>22</v>
      </c>
      <c r="C2" s="54" t="s">
        <v>23</v>
      </c>
      <c r="D2" s="55">
        <v>8.5199999999999998E-2</v>
      </c>
      <c r="E2" s="54">
        <v>9.577</v>
      </c>
      <c r="F2" s="54">
        <v>5.5220000000000002</v>
      </c>
      <c r="G2" s="54">
        <v>-14.632</v>
      </c>
      <c r="H2" s="54">
        <v>14.965</v>
      </c>
      <c r="I2" s="54">
        <v>1.8109999999999999</v>
      </c>
      <c r="J2" s="54">
        <v>14.96</v>
      </c>
      <c r="K2" s="56">
        <f t="shared" ref="K2:K5" si="0">(J2*1.2306)+0.4514</f>
        <v>18.861176</v>
      </c>
      <c r="L2" s="57">
        <f t="shared" ref="L2:L5" si="1">(F2-0.0387)/0.9599</f>
        <v>5.7123658714449421</v>
      </c>
      <c r="M2" s="57">
        <f t="shared" ref="M2:M5" si="2">(H2+0.7021)/0.5981</f>
        <v>26.19478348102324</v>
      </c>
      <c r="N2" s="57">
        <f t="shared" ref="N2:N5" si="3">(I2+0.2428)/2.4916</f>
        <v>0.82428961310001603</v>
      </c>
      <c r="O2" s="57">
        <f t="shared" ref="O2:O5" si="4">(M2/12)/(L2/14)</f>
        <v>5.3498990463175895</v>
      </c>
      <c r="P2" s="55">
        <v>83</v>
      </c>
      <c r="Q2" s="55" t="s">
        <v>24</v>
      </c>
      <c r="R2" s="59" t="s">
        <v>20</v>
      </c>
      <c r="S2" s="59" t="s">
        <v>21</v>
      </c>
      <c r="U2" s="88">
        <f>M2/(D2*1000)</f>
        <v>0.30745051034064835</v>
      </c>
      <c r="Y2" t="s">
        <v>37</v>
      </c>
      <c r="Z2" s="42">
        <f>AVERAGE(U7:U9,U12)</f>
        <v>0.30266880933506074</v>
      </c>
      <c r="AA2" s="92">
        <f>AVERAGE(U7:U9,U12)</f>
        <v>0.30266880933506074</v>
      </c>
    </row>
    <row r="3" spans="1:27" x14ac:dyDescent="0.2">
      <c r="A3" s="59">
        <v>1</v>
      </c>
      <c r="B3" s="87" t="s">
        <v>33</v>
      </c>
      <c r="C3" s="54" t="s">
        <v>34</v>
      </c>
      <c r="D3" s="55">
        <v>7.7499999999999999E-2</v>
      </c>
      <c r="E3" s="54">
        <v>8.7129999999999992</v>
      </c>
      <c r="F3" s="54">
        <v>3.4470000000000001</v>
      </c>
      <c r="G3" s="54">
        <v>-12.776999999999999</v>
      </c>
      <c r="H3" s="54">
        <v>11.257999999999999</v>
      </c>
      <c r="I3" s="54">
        <v>1.2350000000000001</v>
      </c>
      <c r="J3" s="54">
        <v>14.667999999999999</v>
      </c>
      <c r="K3" s="56">
        <f t="shared" si="0"/>
        <v>18.501840799999997</v>
      </c>
      <c r="L3" s="57">
        <f t="shared" si="1"/>
        <v>3.5506823627461195</v>
      </c>
      <c r="M3" s="57">
        <f t="shared" si="2"/>
        <v>19.996823273700048</v>
      </c>
      <c r="N3" s="57">
        <f t="shared" si="3"/>
        <v>0.59311285920693535</v>
      </c>
      <c r="O3" s="57">
        <f t="shared" si="4"/>
        <v>6.5704630178765919</v>
      </c>
      <c r="P3" s="55">
        <v>80</v>
      </c>
      <c r="Q3" s="55" t="s">
        <v>24</v>
      </c>
      <c r="R3" s="59" t="s">
        <v>20</v>
      </c>
      <c r="S3" s="59" t="s">
        <v>21</v>
      </c>
      <c r="U3" s="88">
        <f t="shared" ref="U3:U22" si="5">M3/(D3*1000)</f>
        <v>0.25802352611225871</v>
      </c>
      <c r="Y3" t="s">
        <v>21</v>
      </c>
      <c r="Z3" s="42">
        <f>AVERAGE(U2:U3,U6,U14)</f>
        <v>0.30101964565594208</v>
      </c>
      <c r="AA3" s="92">
        <f>AVERAGE(U2:U3,U6,U14)</f>
        <v>0.30101964565594208</v>
      </c>
    </row>
    <row r="4" spans="1:27" x14ac:dyDescent="0.2">
      <c r="A4" s="60">
        <v>1</v>
      </c>
      <c r="B4" s="78" t="s">
        <v>66</v>
      </c>
      <c r="C4" s="62" t="s">
        <v>67</v>
      </c>
      <c r="D4" s="61">
        <v>8.1299999999999997E-2</v>
      </c>
      <c r="E4" s="62">
        <v>9.6349999999999998</v>
      </c>
      <c r="F4" s="62">
        <v>6.1120000000000001</v>
      </c>
      <c r="G4" s="62">
        <v>-13.738</v>
      </c>
      <c r="H4" s="62">
        <v>16.454000000000001</v>
      </c>
      <c r="I4" s="62">
        <v>2.0920000000000001</v>
      </c>
      <c r="J4" s="62">
        <v>14.839</v>
      </c>
      <c r="K4" s="63">
        <f t="shared" si="0"/>
        <v>18.712273399999997</v>
      </c>
      <c r="L4" s="64">
        <f t="shared" si="1"/>
        <v>6.3270132305448481</v>
      </c>
      <c r="M4" s="64">
        <f t="shared" si="2"/>
        <v>28.68433372345762</v>
      </c>
      <c r="N4" s="64">
        <f t="shared" si="3"/>
        <v>0.93706855032910574</v>
      </c>
      <c r="O4" s="64">
        <f t="shared" si="4"/>
        <v>5.2892343972258029</v>
      </c>
      <c r="P4" s="61">
        <v>78</v>
      </c>
      <c r="Q4" s="61" t="s">
        <v>24</v>
      </c>
      <c r="R4" s="60" t="s">
        <v>20</v>
      </c>
      <c r="S4" s="60" t="s">
        <v>29</v>
      </c>
      <c r="U4" s="79">
        <f t="shared" si="5"/>
        <v>0.35282083300685879</v>
      </c>
      <c r="Y4" t="s">
        <v>29</v>
      </c>
      <c r="Z4" s="42">
        <f>AVERAGE(U4:U5,U11,U18)</f>
        <v>0.33164716934577793</v>
      </c>
      <c r="AA4" s="92">
        <f>AVERAGE(U4:U5,U11,U18)</f>
        <v>0.33164716934577793</v>
      </c>
    </row>
    <row r="5" spans="1:27" x14ac:dyDescent="0.2">
      <c r="A5" s="60">
        <v>1</v>
      </c>
      <c r="B5" s="78" t="s">
        <v>70</v>
      </c>
      <c r="C5" s="62" t="s">
        <v>71</v>
      </c>
      <c r="D5" s="61">
        <v>0.1002</v>
      </c>
      <c r="E5" s="62">
        <v>7.7220000000000004</v>
      </c>
      <c r="F5" s="62">
        <v>6.7770000000000001</v>
      </c>
      <c r="G5" s="62">
        <v>-15.301</v>
      </c>
      <c r="H5" s="62">
        <v>21.635000000000002</v>
      </c>
      <c r="I5" s="62">
        <v>2.2989999999999999</v>
      </c>
      <c r="J5" s="62">
        <v>15.27</v>
      </c>
      <c r="K5" s="63">
        <f t="shared" si="0"/>
        <v>19.242661999999999</v>
      </c>
      <c r="L5" s="64">
        <f t="shared" si="1"/>
        <v>7.0197937285133865</v>
      </c>
      <c r="M5" s="64">
        <f t="shared" si="2"/>
        <v>37.346764755057691</v>
      </c>
      <c r="N5" s="64">
        <f t="shared" si="3"/>
        <v>1.0201476962594316</v>
      </c>
      <c r="O5" s="64">
        <f t="shared" si="4"/>
        <v>6.2069096661041891</v>
      </c>
      <c r="P5" s="61">
        <v>77</v>
      </c>
      <c r="Q5" s="61" t="s">
        <v>24</v>
      </c>
      <c r="R5" s="60" t="s">
        <v>20</v>
      </c>
      <c r="S5" s="60" t="s">
        <v>29</v>
      </c>
      <c r="U5" s="79">
        <f t="shared" si="5"/>
        <v>0.37272220314428833</v>
      </c>
      <c r="Y5" t="s">
        <v>95</v>
      </c>
      <c r="Z5" s="42">
        <f>AVERAGE(U10,U13,U15:U17,U19:U22)</f>
        <v>0.3718340215601692</v>
      </c>
      <c r="AA5" s="93">
        <f>AVERAGE(U13,U15:U16,U20:U22)</f>
        <v>0.33371080521810986</v>
      </c>
    </row>
    <row r="6" spans="1:27" x14ac:dyDescent="0.2">
      <c r="A6" s="59">
        <v>2</v>
      </c>
      <c r="B6" s="55" t="s">
        <v>79</v>
      </c>
      <c r="C6" s="54" t="s">
        <v>80</v>
      </c>
      <c r="D6" s="55">
        <v>7.1999999999999995E-2</v>
      </c>
      <c r="E6" s="54">
        <v>8.7629999999999999</v>
      </c>
      <c r="F6" s="54">
        <v>5.1219999999999999</v>
      </c>
      <c r="G6" s="54">
        <v>-14.606</v>
      </c>
      <c r="H6" s="54">
        <v>13.487</v>
      </c>
      <c r="I6" s="54">
        <v>1.839</v>
      </c>
      <c r="J6" s="54">
        <v>14.512</v>
      </c>
      <c r="K6" s="56">
        <f t="shared" ref="K6:K15" si="6">(J6*1.2306)+0.4514</f>
        <v>18.309867199999999</v>
      </c>
      <c r="L6" s="57">
        <f t="shared" ref="L6:L15" si="7">(F6-0.012)/1.0259</f>
        <v>4.9809922994443907</v>
      </c>
      <c r="M6" s="57">
        <f t="shared" ref="M6:M15" si="8">(H6-0.0444)/0.6303</f>
        <v>21.327304458194511</v>
      </c>
      <c r="N6" s="57">
        <f t="shared" ref="N6:N15" si="9">(I6+0.2944)/2.6242</f>
        <v>0.81297157228869743</v>
      </c>
      <c r="O6" s="57">
        <f t="shared" ref="O6:O15" si="10">(M6/12)/(L6/14)</f>
        <v>4.9953611058588461</v>
      </c>
      <c r="P6" s="55">
        <v>82</v>
      </c>
      <c r="Q6" s="55" t="s">
        <v>24</v>
      </c>
      <c r="R6" s="59" t="s">
        <v>20</v>
      </c>
      <c r="S6" s="59" t="s">
        <v>21</v>
      </c>
      <c r="U6" s="88">
        <f t="shared" si="5"/>
        <v>0.29621256191936823</v>
      </c>
    </row>
    <row r="7" spans="1:27" x14ac:dyDescent="0.2">
      <c r="A7" s="51">
        <v>2</v>
      </c>
      <c r="B7" s="47" t="s">
        <v>81</v>
      </c>
      <c r="C7" s="46" t="s">
        <v>82</v>
      </c>
      <c r="D7" s="47">
        <v>8.5400000000000004E-2</v>
      </c>
      <c r="E7" s="46">
        <v>8.6639999999999997</v>
      </c>
      <c r="F7" s="46">
        <v>5.8739999999999997</v>
      </c>
      <c r="G7" s="46">
        <v>-15.593999999999999</v>
      </c>
      <c r="H7" s="46">
        <v>17.158000000000001</v>
      </c>
      <c r="I7" s="46">
        <v>1.98</v>
      </c>
      <c r="J7" s="46">
        <v>15.561999999999999</v>
      </c>
      <c r="K7" s="48">
        <f t="shared" si="6"/>
        <v>19.601997199999996</v>
      </c>
      <c r="L7" s="49">
        <f t="shared" si="7"/>
        <v>5.7140072131786726</v>
      </c>
      <c r="M7" s="49">
        <f t="shared" si="8"/>
        <v>27.151515151515156</v>
      </c>
      <c r="N7" s="49">
        <f t="shared" si="9"/>
        <v>0.8667022330615044</v>
      </c>
      <c r="O7" s="49">
        <f t="shared" si="10"/>
        <v>5.5437045308079096</v>
      </c>
      <c r="P7" s="47">
        <v>72</v>
      </c>
      <c r="Q7" s="47" t="s">
        <v>24</v>
      </c>
      <c r="R7" s="51" t="s">
        <v>20</v>
      </c>
      <c r="S7" s="51" t="s">
        <v>37</v>
      </c>
      <c r="U7" s="90">
        <f t="shared" si="5"/>
        <v>0.3179334326875311</v>
      </c>
    </row>
    <row r="8" spans="1:27" x14ac:dyDescent="0.2">
      <c r="A8" s="51">
        <v>2</v>
      </c>
      <c r="B8" s="47" t="s">
        <v>30</v>
      </c>
      <c r="C8" s="46" t="s">
        <v>101</v>
      </c>
      <c r="D8" s="47">
        <v>7.3300000000000004E-2</v>
      </c>
      <c r="E8" s="46">
        <v>8.2370000000000001</v>
      </c>
      <c r="F8" s="46">
        <v>4.0389999999999997</v>
      </c>
      <c r="G8" s="46">
        <v>-14.959</v>
      </c>
      <c r="H8" s="46">
        <v>11.065</v>
      </c>
      <c r="I8" s="46">
        <v>1.1459999999999999</v>
      </c>
      <c r="J8" s="46">
        <v>14.766</v>
      </c>
      <c r="K8" s="48">
        <f t="shared" si="6"/>
        <v>18.6224396</v>
      </c>
      <c r="L8" s="49">
        <f t="shared" si="7"/>
        <v>3.9253338532020665</v>
      </c>
      <c r="M8" s="49">
        <f t="shared" si="8"/>
        <v>17.484689830239571</v>
      </c>
      <c r="N8" s="49">
        <f t="shared" si="9"/>
        <v>0.54889109061809305</v>
      </c>
      <c r="O8" s="49">
        <f t="shared" si="10"/>
        <v>5.1967056981168547</v>
      </c>
      <c r="P8" s="47">
        <v>74</v>
      </c>
      <c r="Q8" s="47" t="s">
        <v>24</v>
      </c>
      <c r="R8" s="51" t="s">
        <v>20</v>
      </c>
      <c r="S8" s="51" t="s">
        <v>37</v>
      </c>
      <c r="U8" s="90">
        <f t="shared" si="5"/>
        <v>0.23853601405511013</v>
      </c>
    </row>
    <row r="9" spans="1:27" x14ac:dyDescent="0.2">
      <c r="A9" s="51">
        <v>2</v>
      </c>
      <c r="B9" s="47" t="s">
        <v>33</v>
      </c>
      <c r="C9" s="46" t="s">
        <v>102</v>
      </c>
      <c r="D9" s="47">
        <v>8.4400000000000003E-2</v>
      </c>
      <c r="E9" s="46">
        <v>8.9420000000000002</v>
      </c>
      <c r="F9" s="46">
        <v>5.9569999999999999</v>
      </c>
      <c r="G9" s="46">
        <v>-13.157999999999999</v>
      </c>
      <c r="H9" s="46">
        <v>16.513999999999999</v>
      </c>
      <c r="I9" s="46">
        <v>1.8069999999999999</v>
      </c>
      <c r="J9" s="46">
        <v>16.553999999999998</v>
      </c>
      <c r="K9" s="48">
        <f t="shared" si="6"/>
        <v>20.822752399999995</v>
      </c>
      <c r="L9" s="49">
        <f t="shared" si="7"/>
        <v>5.794911784774345</v>
      </c>
      <c r="M9" s="49">
        <f t="shared" si="8"/>
        <v>26.129779470093606</v>
      </c>
      <c r="N9" s="49">
        <f t="shared" si="9"/>
        <v>0.8007773797728831</v>
      </c>
      <c r="O9" s="49">
        <f t="shared" si="10"/>
        <v>5.2606051390127053</v>
      </c>
      <c r="P9" s="47">
        <v>73</v>
      </c>
      <c r="Q9" s="47" t="s">
        <v>24</v>
      </c>
      <c r="R9" s="51" t="s">
        <v>20</v>
      </c>
      <c r="S9" s="51" t="s">
        <v>37</v>
      </c>
      <c r="U9" s="90">
        <f t="shared" si="5"/>
        <v>0.30959454348452137</v>
      </c>
    </row>
    <row r="10" spans="1:27" x14ac:dyDescent="0.2">
      <c r="A10" s="5">
        <v>2</v>
      </c>
      <c r="B10" s="8" t="s">
        <v>104</v>
      </c>
      <c r="C10" s="7" t="s">
        <v>105</v>
      </c>
      <c r="D10" s="8">
        <v>9.3700000000000006E-2</v>
      </c>
      <c r="E10" s="7">
        <v>8.6</v>
      </c>
      <c r="F10" s="7">
        <v>12.782</v>
      </c>
      <c r="G10" s="7">
        <v>-20.736000000000001</v>
      </c>
      <c r="H10" s="7">
        <v>29.584</v>
      </c>
      <c r="I10" s="9">
        <v>3.3050000000000002</v>
      </c>
      <c r="J10" s="7">
        <v>12.234</v>
      </c>
      <c r="K10" s="10">
        <f t="shared" si="6"/>
        <v>15.506560399999998</v>
      </c>
      <c r="L10" s="11">
        <f t="shared" si="7"/>
        <v>12.447606979237742</v>
      </c>
      <c r="M10" s="11">
        <f t="shared" si="8"/>
        <v>46.865936855465655</v>
      </c>
      <c r="N10" s="11">
        <f t="shared" si="9"/>
        <v>1.3716180169194421</v>
      </c>
      <c r="O10" s="11">
        <f t="shared" si="10"/>
        <v>4.3925652876553842</v>
      </c>
      <c r="P10" s="8">
        <v>55</v>
      </c>
      <c r="Q10" s="8" t="s">
        <v>24</v>
      </c>
      <c r="R10" s="5" t="s">
        <v>94</v>
      </c>
      <c r="S10" s="5" t="s">
        <v>95</v>
      </c>
      <c r="U10" s="73">
        <f t="shared" si="5"/>
        <v>0.50017008383634631</v>
      </c>
    </row>
    <row r="11" spans="1:27" x14ac:dyDescent="0.2">
      <c r="A11" s="60">
        <v>2</v>
      </c>
      <c r="B11" s="61" t="s">
        <v>110</v>
      </c>
      <c r="C11" s="62" t="s">
        <v>111</v>
      </c>
      <c r="D11" s="61">
        <v>7.0400000000000004E-2</v>
      </c>
      <c r="E11" s="62">
        <v>8.69</v>
      </c>
      <c r="F11" s="62">
        <v>4.3650000000000002</v>
      </c>
      <c r="G11" s="62">
        <v>-13.683999999999999</v>
      </c>
      <c r="H11" s="62">
        <v>13.308999999999999</v>
      </c>
      <c r="I11" s="62">
        <v>1.3420000000000001</v>
      </c>
      <c r="J11" s="62">
        <v>15.808999999999999</v>
      </c>
      <c r="K11" s="63">
        <f t="shared" si="6"/>
        <v>19.905955399999996</v>
      </c>
      <c r="L11" s="64">
        <f t="shared" si="7"/>
        <v>4.2431036163368754</v>
      </c>
      <c r="M11" s="64">
        <f t="shared" si="8"/>
        <v>21.04489925432334</v>
      </c>
      <c r="N11" s="64">
        <f t="shared" si="9"/>
        <v>0.62358051977745599</v>
      </c>
      <c r="O11" s="64">
        <f t="shared" si="10"/>
        <v>5.7864206683158041</v>
      </c>
      <c r="P11" s="61">
        <v>79</v>
      </c>
      <c r="Q11" s="61" t="s">
        <v>24</v>
      </c>
      <c r="R11" s="60" t="s">
        <v>20</v>
      </c>
      <c r="S11" s="60" t="s">
        <v>29</v>
      </c>
      <c r="U11" s="79">
        <f t="shared" si="5"/>
        <v>0.29893322804436562</v>
      </c>
    </row>
    <row r="12" spans="1:27" x14ac:dyDescent="0.2">
      <c r="A12" s="51">
        <v>2</v>
      </c>
      <c r="B12" s="47" t="s">
        <v>112</v>
      </c>
      <c r="C12" s="46" t="s">
        <v>113</v>
      </c>
      <c r="D12" s="47">
        <v>6.1400000000000003E-2</v>
      </c>
      <c r="E12" s="46">
        <v>9.7469999999999999</v>
      </c>
      <c r="F12" s="46">
        <v>4.681</v>
      </c>
      <c r="G12" s="46">
        <v>-14.513</v>
      </c>
      <c r="H12" s="46">
        <v>13.381</v>
      </c>
      <c r="I12" s="46">
        <v>1.5449999999999999</v>
      </c>
      <c r="J12" s="46">
        <v>15.048</v>
      </c>
      <c r="K12" s="48">
        <f t="shared" si="6"/>
        <v>18.969468799999998</v>
      </c>
      <c r="L12" s="49">
        <f t="shared" si="7"/>
        <v>4.5511258407252173</v>
      </c>
      <c r="M12" s="49">
        <f t="shared" si="8"/>
        <v>21.159130572743141</v>
      </c>
      <c r="N12" s="49">
        <f t="shared" si="9"/>
        <v>0.70093742854965313</v>
      </c>
      <c r="O12" s="49">
        <f t="shared" si="10"/>
        <v>5.4240759756564687</v>
      </c>
      <c r="P12" s="47">
        <v>75</v>
      </c>
      <c r="Q12" s="47" t="s">
        <v>24</v>
      </c>
      <c r="R12" s="51" t="s">
        <v>20</v>
      </c>
      <c r="S12" s="51" t="s">
        <v>37</v>
      </c>
      <c r="U12" s="90">
        <f t="shared" si="5"/>
        <v>0.34461124711308044</v>
      </c>
    </row>
    <row r="13" spans="1:27" x14ac:dyDescent="0.2">
      <c r="A13" s="5">
        <v>2</v>
      </c>
      <c r="B13" s="8" t="s">
        <v>117</v>
      </c>
      <c r="C13" s="7" t="s">
        <v>118</v>
      </c>
      <c r="D13" s="8">
        <v>8.5699999999999998E-2</v>
      </c>
      <c r="E13" s="7">
        <v>9.4309999999999992</v>
      </c>
      <c r="F13" s="7">
        <v>4.2130000000000001</v>
      </c>
      <c r="G13" s="7">
        <v>-16.809999999999999</v>
      </c>
      <c r="H13" s="7">
        <v>13.638999999999999</v>
      </c>
      <c r="I13" s="7">
        <v>1.232</v>
      </c>
      <c r="J13" s="7">
        <v>15.228</v>
      </c>
      <c r="K13" s="10">
        <f t="shared" si="6"/>
        <v>19.190976799999998</v>
      </c>
      <c r="L13" s="11">
        <f t="shared" si="7"/>
        <v>4.0949410273905844</v>
      </c>
      <c r="M13" s="11">
        <f t="shared" si="8"/>
        <v>21.568459463747423</v>
      </c>
      <c r="N13" s="11">
        <f t="shared" si="9"/>
        <v>0.58166298300434416</v>
      </c>
      <c r="O13" s="11">
        <f t="shared" si="10"/>
        <v>6.1449487402606264</v>
      </c>
      <c r="P13" s="8">
        <v>52</v>
      </c>
      <c r="Q13" s="8" t="s">
        <v>24</v>
      </c>
      <c r="R13" s="5" t="s">
        <v>94</v>
      </c>
      <c r="S13" s="5" t="s">
        <v>95</v>
      </c>
      <c r="U13" s="73">
        <f t="shared" si="5"/>
        <v>0.25167397273917647</v>
      </c>
    </row>
    <row r="14" spans="1:27" x14ac:dyDescent="0.2">
      <c r="A14" s="59">
        <v>2</v>
      </c>
      <c r="B14" s="55" t="s">
        <v>119</v>
      </c>
      <c r="C14" s="54" t="s">
        <v>120</v>
      </c>
      <c r="D14" s="55">
        <v>6.6199999999999995E-2</v>
      </c>
      <c r="E14" s="54">
        <v>8.7650000000000006</v>
      </c>
      <c r="F14" s="54">
        <v>4.3600000000000003</v>
      </c>
      <c r="G14" s="54">
        <v>-16.356000000000002</v>
      </c>
      <c r="H14" s="54">
        <v>14.331</v>
      </c>
      <c r="I14" s="54">
        <v>1.29</v>
      </c>
      <c r="J14" s="54">
        <v>14.34</v>
      </c>
      <c r="K14" s="56">
        <f t="shared" si="6"/>
        <v>18.098203999999999</v>
      </c>
      <c r="L14" s="57">
        <f t="shared" si="7"/>
        <v>4.2382298469636419</v>
      </c>
      <c r="M14" s="57">
        <f t="shared" si="8"/>
        <v>22.666349357448834</v>
      </c>
      <c r="N14" s="57">
        <f t="shared" si="9"/>
        <v>0.60376495693925769</v>
      </c>
      <c r="O14" s="57">
        <f t="shared" si="10"/>
        <v>6.239414851297429</v>
      </c>
      <c r="P14" s="55">
        <v>81</v>
      </c>
      <c r="Q14" s="55" t="s">
        <v>24</v>
      </c>
      <c r="R14" s="59" t="s">
        <v>20</v>
      </c>
      <c r="S14" s="59" t="s">
        <v>21</v>
      </c>
      <c r="U14" s="88">
        <f t="shared" si="5"/>
        <v>0.34239198425149303</v>
      </c>
    </row>
    <row r="15" spans="1:27" x14ac:dyDescent="0.2">
      <c r="A15" s="5">
        <v>2</v>
      </c>
      <c r="B15" s="8" t="s">
        <v>130</v>
      </c>
      <c r="C15" s="7" t="s">
        <v>131</v>
      </c>
      <c r="D15" s="8">
        <v>6.9199999999999998E-2</v>
      </c>
      <c r="E15" s="7">
        <v>9.6649999999999991</v>
      </c>
      <c r="F15" s="7">
        <v>7.8029999999999999</v>
      </c>
      <c r="G15" s="7">
        <v>-19.077999999999999</v>
      </c>
      <c r="H15" s="7">
        <v>22.355</v>
      </c>
      <c r="I15" s="7">
        <v>2.7730000000000001</v>
      </c>
      <c r="J15" s="7">
        <v>16.562999999999999</v>
      </c>
      <c r="K15" s="10">
        <f t="shared" si="6"/>
        <v>20.833827799999998</v>
      </c>
      <c r="L15" s="11">
        <f t="shared" si="7"/>
        <v>7.5943074373720636</v>
      </c>
      <c r="M15" s="11">
        <f t="shared" si="8"/>
        <v>35.396795176899893</v>
      </c>
      <c r="N15" s="11">
        <f t="shared" si="9"/>
        <v>1.1688895663440286</v>
      </c>
      <c r="O15" s="11">
        <f t="shared" si="10"/>
        <v>5.4377915801110506</v>
      </c>
      <c r="P15" s="8">
        <v>50</v>
      </c>
      <c r="Q15" s="8" t="s">
        <v>24</v>
      </c>
      <c r="R15" s="5" t="s">
        <v>94</v>
      </c>
      <c r="S15" s="5" t="s">
        <v>95</v>
      </c>
      <c r="U15" s="73">
        <f t="shared" si="5"/>
        <v>0.51151438116907355</v>
      </c>
    </row>
    <row r="16" spans="1:27" x14ac:dyDescent="0.2">
      <c r="A16" s="22">
        <v>3</v>
      </c>
      <c r="B16" s="23" t="s">
        <v>17</v>
      </c>
      <c r="C16" s="24" t="s">
        <v>132</v>
      </c>
      <c r="D16" s="23">
        <v>5.74E-2</v>
      </c>
      <c r="E16" s="24">
        <v>8.9710000000000001</v>
      </c>
      <c r="F16" s="24">
        <v>1.0940000000000001</v>
      </c>
      <c r="G16" s="24">
        <v>-17.292999999999999</v>
      </c>
      <c r="H16" s="24">
        <v>3.5819999999999999</v>
      </c>
      <c r="I16" s="24">
        <v>0.34200000000000003</v>
      </c>
      <c r="J16" s="24">
        <v>10.183999999999999</v>
      </c>
      <c r="K16" s="10">
        <f t="shared" ref="K16:K18" si="11">(J16*1.2306)+0.4514</f>
        <v>12.983830399999999</v>
      </c>
      <c r="L16" s="11">
        <f t="shared" ref="L16:L18" si="12">(F16+0.1928)/1.0771</f>
        <v>1.1946894438770777</v>
      </c>
      <c r="M16" s="11">
        <f t="shared" ref="M16:M18" si="13">(H16+1.5229)/0.6745</f>
        <v>7.5684210526315789</v>
      </c>
      <c r="N16" s="11">
        <f t="shared" ref="N16:N18" si="14">(I16+0.2944)/2.6242</f>
        <v>0.24251200365825779</v>
      </c>
      <c r="O16" s="11">
        <f t="shared" ref="O16:O18" si="15">(M16/12)/(L16/14)</f>
        <v>7.3908952712835845</v>
      </c>
      <c r="P16" s="23">
        <v>54</v>
      </c>
      <c r="Q16" s="25" t="s">
        <v>24</v>
      </c>
      <c r="R16" s="22" t="s">
        <v>94</v>
      </c>
      <c r="S16" s="22" t="s">
        <v>95</v>
      </c>
      <c r="U16" s="73">
        <f t="shared" si="5"/>
        <v>0.13185402530717036</v>
      </c>
    </row>
    <row r="17" spans="1:21" x14ac:dyDescent="0.2">
      <c r="A17" s="22">
        <v>3</v>
      </c>
      <c r="B17" s="23" t="s">
        <v>108</v>
      </c>
      <c r="C17" s="24" t="s">
        <v>150</v>
      </c>
      <c r="D17" s="23">
        <v>4.5199999999999997E-2</v>
      </c>
      <c r="E17" s="24">
        <v>10.629</v>
      </c>
      <c r="F17" s="24">
        <v>7.3440000000000003</v>
      </c>
      <c r="G17" s="24">
        <v>-19.356999999999999</v>
      </c>
      <c r="H17" s="24">
        <v>20.503</v>
      </c>
      <c r="I17" s="24">
        <v>2.3359999999999999</v>
      </c>
      <c r="J17" s="24">
        <v>15.797000000000001</v>
      </c>
      <c r="K17" s="10">
        <f t="shared" si="11"/>
        <v>19.891188199999998</v>
      </c>
      <c r="L17" s="11">
        <f t="shared" si="12"/>
        <v>6.9973075851824351</v>
      </c>
      <c r="M17" s="11">
        <f t="shared" si="13"/>
        <v>32.655151964418089</v>
      </c>
      <c r="N17" s="11">
        <f t="shared" si="14"/>
        <v>1.0023626247999389</v>
      </c>
      <c r="O17" s="11">
        <f t="shared" si="15"/>
        <v>5.444619495146549</v>
      </c>
      <c r="P17" s="23">
        <v>51</v>
      </c>
      <c r="Q17" s="25" t="s">
        <v>24</v>
      </c>
      <c r="R17" s="22" t="s">
        <v>94</v>
      </c>
      <c r="S17" s="22" t="s">
        <v>95</v>
      </c>
      <c r="U17" s="73">
        <f t="shared" si="5"/>
        <v>0.72245911425703746</v>
      </c>
    </row>
    <row r="18" spans="1:21" x14ac:dyDescent="0.2">
      <c r="A18" s="66">
        <v>3</v>
      </c>
      <c r="B18" s="86" t="s">
        <v>110</v>
      </c>
      <c r="C18" s="84" t="s">
        <v>151</v>
      </c>
      <c r="D18" s="86">
        <v>5.6399999999999999E-2</v>
      </c>
      <c r="E18" s="84">
        <v>8.2859999999999996</v>
      </c>
      <c r="F18" s="84">
        <v>3.2490000000000001</v>
      </c>
      <c r="G18" s="84">
        <v>-13.128</v>
      </c>
      <c r="H18" s="84">
        <v>9.9700000000000006</v>
      </c>
      <c r="I18" s="84">
        <v>1.139</v>
      </c>
      <c r="J18" s="84">
        <v>14.712</v>
      </c>
      <c r="K18" s="63">
        <f t="shared" si="11"/>
        <v>18.555987199999997</v>
      </c>
      <c r="L18" s="64">
        <f t="shared" si="12"/>
        <v>3.1954321789991647</v>
      </c>
      <c r="M18" s="64">
        <f t="shared" si="13"/>
        <v>17.039140103780579</v>
      </c>
      <c r="N18" s="64">
        <f t="shared" si="14"/>
        <v>0.54622361100525874</v>
      </c>
      <c r="O18" s="64">
        <f t="shared" si="15"/>
        <v>6.221066720924826</v>
      </c>
      <c r="P18" s="86">
        <v>76</v>
      </c>
      <c r="Q18" s="65" t="s">
        <v>24</v>
      </c>
      <c r="R18" s="66" t="s">
        <v>20</v>
      </c>
      <c r="S18" s="66" t="s">
        <v>29</v>
      </c>
      <c r="U18" s="79">
        <f t="shared" si="5"/>
        <v>0.3021124131875989</v>
      </c>
    </row>
    <row r="19" spans="1:21" x14ac:dyDescent="0.2">
      <c r="A19" s="5">
        <v>4</v>
      </c>
      <c r="B19" s="8" t="s">
        <v>53</v>
      </c>
      <c r="C19" s="7" t="s">
        <v>205</v>
      </c>
      <c r="D19" s="8">
        <v>4.8599999999999997E-2</v>
      </c>
      <c r="E19" s="12" t="s">
        <v>206</v>
      </c>
      <c r="F19" s="12" t="s">
        <v>206</v>
      </c>
      <c r="G19" s="9">
        <v>-20.870999999999999</v>
      </c>
      <c r="H19" s="9">
        <v>0.38500000000000001</v>
      </c>
      <c r="I19" s="7">
        <v>0.53200000000000003</v>
      </c>
      <c r="J19" s="7">
        <v>10.292999999999999</v>
      </c>
      <c r="K19" s="10">
        <f t="shared" ref="K19:K20" si="16">(J19*1.1306)+0.4514</f>
        <v>12.088665799999999</v>
      </c>
      <c r="L19" s="11" t="e">
        <f>(F19+0.6634)/1.0648</f>
        <v>#VALUE!</v>
      </c>
      <c r="M19" s="11">
        <f>(H19+3.452)/0.6492</f>
        <v>5.9103512014787425</v>
      </c>
      <c r="N19" s="11">
        <f>(I19+0.4356)/3.002</f>
        <v>0.3223184543637575</v>
      </c>
      <c r="O19" s="11" t="e">
        <f>(M19/12)/(L19/14)</f>
        <v>#VALUE!</v>
      </c>
      <c r="P19" s="8">
        <v>55</v>
      </c>
      <c r="Q19" s="23" t="s">
        <v>24</v>
      </c>
      <c r="R19" s="22" t="s">
        <v>94</v>
      </c>
      <c r="S19" s="22" t="s">
        <v>95</v>
      </c>
      <c r="U19" s="73">
        <f t="shared" si="5"/>
        <v>0.12161216463948031</v>
      </c>
    </row>
    <row r="20" spans="1:21" x14ac:dyDescent="0.2">
      <c r="A20" s="5">
        <v>4</v>
      </c>
      <c r="B20" s="8" t="s">
        <v>215</v>
      </c>
      <c r="C20" s="7" t="s">
        <v>216</v>
      </c>
      <c r="D20" s="8">
        <v>0.18</v>
      </c>
      <c r="E20" s="7">
        <v>9.2119999999999997</v>
      </c>
      <c r="F20" s="7">
        <v>11.632999999999999</v>
      </c>
      <c r="G20" s="7">
        <v>-17.965</v>
      </c>
      <c r="H20" s="7">
        <v>36.302999999999997</v>
      </c>
      <c r="I20" s="7">
        <v>4.6719999999999997</v>
      </c>
      <c r="J20" s="7">
        <v>16.786000000000001</v>
      </c>
      <c r="K20" s="10">
        <f t="shared" si="16"/>
        <v>19.429651600000003</v>
      </c>
      <c r="L20" s="11">
        <f t="shared" ref="L20" si="17">(F20+0.6634)/1.0648</f>
        <v>11.5480841472577</v>
      </c>
      <c r="M20" s="11">
        <f t="shared" ref="M20" si="18">(H20+3.452)/0.6492</f>
        <v>61.236906962415276</v>
      </c>
      <c r="N20" s="11">
        <f t="shared" ref="N20" si="19">(I20+0.4356)/3.002</f>
        <v>1.7013990672884745</v>
      </c>
      <c r="O20" s="11">
        <f t="shared" ref="O20" si="20">(M20/12)/(L20/14)</f>
        <v>6.1865723536300399</v>
      </c>
      <c r="P20" s="8">
        <v>54</v>
      </c>
      <c r="Q20" s="23" t="s">
        <v>24</v>
      </c>
      <c r="R20" s="22" t="s">
        <v>94</v>
      </c>
      <c r="S20" s="22" t="s">
        <v>95</v>
      </c>
      <c r="U20" s="73">
        <f t="shared" si="5"/>
        <v>0.34020503868008489</v>
      </c>
    </row>
    <row r="21" spans="1:21" x14ac:dyDescent="0.2">
      <c r="A21" s="5">
        <v>5</v>
      </c>
      <c r="B21" s="8" t="s">
        <v>200</v>
      </c>
      <c r="C21" s="7" t="s">
        <v>262</v>
      </c>
      <c r="D21" s="8">
        <v>0.10100000000000001</v>
      </c>
      <c r="E21" s="7">
        <v>8.8810000000000002</v>
      </c>
      <c r="F21" s="7">
        <v>5.2389999999999999</v>
      </c>
      <c r="G21" s="7">
        <v>-17.353999999999999</v>
      </c>
      <c r="H21" s="7">
        <v>16.558</v>
      </c>
      <c r="I21" s="7">
        <v>2.37</v>
      </c>
      <c r="J21" s="7">
        <v>15.244</v>
      </c>
      <c r="K21" s="10">
        <f t="shared" ref="K21:K22" si="21">(J21*1.1473)-0.5045</f>
        <v>16.984941199999998</v>
      </c>
      <c r="L21" s="11">
        <f t="shared" ref="L21:L22" si="22">(F21+0.1281)/0.9429</f>
        <v>5.6921200551490081</v>
      </c>
      <c r="M21" s="11">
        <f t="shared" ref="M21:M22" si="23">(H21-0.2341)/0.5383</f>
        <v>30.324911759242056</v>
      </c>
      <c r="N21" s="11">
        <f t="shared" ref="N21:N22" si="24">(I21+0.6298)/3.2955</f>
        <v>0.91027158246093154</v>
      </c>
      <c r="O21" s="11">
        <f t="shared" ref="O21:O22" si="25">(M21/12)/(L21/14)</f>
        <v>6.21544580513764</v>
      </c>
      <c r="P21" s="8">
        <v>54</v>
      </c>
      <c r="Q21" s="23" t="s">
        <v>24</v>
      </c>
      <c r="R21" s="22" t="s">
        <v>94</v>
      </c>
      <c r="S21" s="22" t="s">
        <v>95</v>
      </c>
      <c r="U21" s="73">
        <f t="shared" si="5"/>
        <v>0.30024665108160453</v>
      </c>
    </row>
    <row r="22" spans="1:21" x14ac:dyDescent="0.2">
      <c r="A22" s="5">
        <v>5</v>
      </c>
      <c r="B22" s="8" t="s">
        <v>203</v>
      </c>
      <c r="C22" s="7" t="s">
        <v>263</v>
      </c>
      <c r="D22" s="8">
        <v>8.0699999999999994E-2</v>
      </c>
      <c r="E22" s="7">
        <v>8.5299999999999994</v>
      </c>
      <c r="F22" s="7">
        <v>8.9510000000000005</v>
      </c>
      <c r="G22" s="7">
        <v>-20.847999999999999</v>
      </c>
      <c r="H22" s="7">
        <v>20.510999999999999</v>
      </c>
      <c r="I22" s="7">
        <v>3.1389999999999998</v>
      </c>
      <c r="J22" s="7">
        <v>12.708</v>
      </c>
      <c r="K22" s="10">
        <f t="shared" si="21"/>
        <v>14.0753884</v>
      </c>
      <c r="L22" s="11">
        <f t="shared" si="22"/>
        <v>9.6289108070845266</v>
      </c>
      <c r="M22" s="11">
        <f t="shared" si="23"/>
        <v>37.668400520156041</v>
      </c>
      <c r="N22" s="11">
        <f t="shared" si="24"/>
        <v>1.1436200879987861</v>
      </c>
      <c r="O22" s="11">
        <f t="shared" si="25"/>
        <v>4.5640122911078906</v>
      </c>
      <c r="P22" s="8">
        <v>55</v>
      </c>
      <c r="Q22" s="23" t="s">
        <v>24</v>
      </c>
      <c r="R22" s="22" t="s">
        <v>94</v>
      </c>
      <c r="S22" s="22" t="s">
        <v>95</v>
      </c>
      <c r="U22" s="73">
        <f t="shared" si="5"/>
        <v>0.46677076233154952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59">
        <v>1</v>
      </c>
      <c r="B2" s="87" t="s">
        <v>30</v>
      </c>
      <c r="C2" s="54" t="s">
        <v>31</v>
      </c>
      <c r="D2" s="55">
        <v>8.5900000000000004E-2</v>
      </c>
      <c r="E2" s="54">
        <v>8.7609999999999992</v>
      </c>
      <c r="F2" s="54">
        <v>3.27</v>
      </c>
      <c r="G2" s="54">
        <v>-16.648</v>
      </c>
      <c r="H2" s="54">
        <v>8.0660000000000007</v>
      </c>
      <c r="I2" s="54">
        <v>0.98799999999999999</v>
      </c>
      <c r="J2" s="54">
        <v>13.028</v>
      </c>
      <c r="K2" s="56">
        <f t="shared" ref="K2:K7" si="0">(J2*1.2306)+0.4514</f>
        <v>16.483656799999999</v>
      </c>
      <c r="L2" s="57">
        <f t="shared" ref="L2:L7" si="1">(F2-0.0387)/0.9599</f>
        <v>3.3662881550161479</v>
      </c>
      <c r="M2" s="57">
        <f t="shared" ref="M2:M7" si="2">(H2+0.7021)/0.5981</f>
        <v>14.659923089784318</v>
      </c>
      <c r="N2" s="57">
        <f t="shared" ref="N2:N7" si="3">(I2+0.2428)/2.4916</f>
        <v>0.49397977203403431</v>
      </c>
      <c r="O2" s="57">
        <f t="shared" ref="O2:O7" si="4">(M2/12)/(L2/14)</f>
        <v>5.0807425915878932</v>
      </c>
      <c r="P2" s="55">
        <v>93</v>
      </c>
      <c r="Q2" s="55" t="s">
        <v>32</v>
      </c>
      <c r="R2" s="59" t="s">
        <v>20</v>
      </c>
      <c r="S2" s="59" t="s">
        <v>21</v>
      </c>
      <c r="U2" s="88">
        <f>M2/(D2*1000)</f>
        <v>0.17066266693578949</v>
      </c>
      <c r="Y2" t="s">
        <v>37</v>
      </c>
      <c r="Z2" s="42">
        <f>AVERAGE(U5:U7)</f>
        <v>0.36582355672992634</v>
      </c>
      <c r="AA2" s="92">
        <f>AVERAGE(U5:U7,U24,U27,U31)</f>
        <v>0.35939572550870841</v>
      </c>
    </row>
    <row r="3" spans="1:27" x14ac:dyDescent="0.2">
      <c r="A3" s="60">
        <v>1</v>
      </c>
      <c r="B3" s="78" t="s">
        <v>46</v>
      </c>
      <c r="C3" s="62" t="s">
        <v>47</v>
      </c>
      <c r="D3" s="61">
        <v>8.9899999999999994E-2</v>
      </c>
      <c r="E3" s="62">
        <v>9.391</v>
      </c>
      <c r="F3" s="62">
        <v>6.4450000000000003</v>
      </c>
      <c r="G3" s="62">
        <v>-17.001999999999999</v>
      </c>
      <c r="H3" s="62">
        <v>16.498000000000001</v>
      </c>
      <c r="I3" s="62">
        <v>2.274</v>
      </c>
      <c r="J3" s="62">
        <v>15.124000000000001</v>
      </c>
      <c r="K3" s="63">
        <f t="shared" si="0"/>
        <v>19.062994399999997</v>
      </c>
      <c r="L3" s="64">
        <f t="shared" si="1"/>
        <v>6.6739243671215753</v>
      </c>
      <c r="M3" s="64">
        <f t="shared" si="2"/>
        <v>28.757900016719617</v>
      </c>
      <c r="N3" s="64">
        <f t="shared" si="3"/>
        <v>1.0101139829828223</v>
      </c>
      <c r="O3" s="64">
        <f t="shared" si="4"/>
        <v>5.0271596600831501</v>
      </c>
      <c r="P3" s="61">
        <v>89</v>
      </c>
      <c r="Q3" s="61" t="s">
        <v>32</v>
      </c>
      <c r="R3" s="60" t="s">
        <v>20</v>
      </c>
      <c r="S3" s="60" t="s">
        <v>29</v>
      </c>
      <c r="U3" s="79">
        <f t="shared" ref="U3:U37" si="5">M3/(D3*1000)</f>
        <v>0.31988765313369988</v>
      </c>
      <c r="Y3" t="s">
        <v>21</v>
      </c>
      <c r="Z3" s="42">
        <f>AVERAGE(U29:U30,U32:U33,U37)</f>
        <v>0.40192709248719083</v>
      </c>
      <c r="AA3" s="92">
        <f>AVERAGE(U2,U10:U11,U29:U30,U32:U33,U37)</f>
        <v>0.31194180614865191</v>
      </c>
    </row>
    <row r="4" spans="1:27" x14ac:dyDescent="0.2">
      <c r="A4" s="60">
        <v>1</v>
      </c>
      <c r="B4" s="78" t="s">
        <v>53</v>
      </c>
      <c r="C4" s="62" t="s">
        <v>54</v>
      </c>
      <c r="D4" s="61">
        <v>0.1022</v>
      </c>
      <c r="E4" s="62">
        <v>7.8070000000000004</v>
      </c>
      <c r="F4" s="62">
        <v>4.2480000000000002</v>
      </c>
      <c r="G4" s="62">
        <v>-16.986999999999998</v>
      </c>
      <c r="H4" s="62">
        <v>12.497</v>
      </c>
      <c r="I4" s="62">
        <v>1.282</v>
      </c>
      <c r="J4" s="62">
        <v>14.724</v>
      </c>
      <c r="K4" s="63">
        <f t="shared" si="0"/>
        <v>18.570754399999998</v>
      </c>
      <c r="L4" s="64">
        <f t="shared" si="1"/>
        <v>4.3851442858631104</v>
      </c>
      <c r="M4" s="64">
        <f t="shared" si="2"/>
        <v>22.068383213509446</v>
      </c>
      <c r="N4" s="64">
        <f t="shared" si="3"/>
        <v>0.61197624016696095</v>
      </c>
      <c r="O4" s="64">
        <f t="shared" si="4"/>
        <v>5.8712884694420309</v>
      </c>
      <c r="P4" s="61">
        <v>90</v>
      </c>
      <c r="Q4" s="61" t="s">
        <v>32</v>
      </c>
      <c r="R4" s="60" t="s">
        <v>20</v>
      </c>
      <c r="S4" s="60" t="s">
        <v>29</v>
      </c>
      <c r="U4" s="79">
        <f t="shared" si="5"/>
        <v>0.21593329954510221</v>
      </c>
      <c r="Y4" t="s">
        <v>29</v>
      </c>
      <c r="Z4" s="42">
        <f>AVERAGE(U28,U34,U36)</f>
        <v>0.36757295515150029</v>
      </c>
      <c r="AA4" s="92">
        <f>AVERAGE(U3:U4,U8:U9,U28,U34,U36)</f>
        <v>0.32919090756520719</v>
      </c>
    </row>
    <row r="5" spans="1:27" x14ac:dyDescent="0.2">
      <c r="A5" s="51">
        <v>1</v>
      </c>
      <c r="B5" s="89" t="s">
        <v>55</v>
      </c>
      <c r="C5" s="46" t="s">
        <v>56</v>
      </c>
      <c r="D5" s="47">
        <v>5.9400000000000001E-2</v>
      </c>
      <c r="E5" s="46">
        <v>8.9429999999999996</v>
      </c>
      <c r="F5" s="46">
        <v>3.1579999999999999</v>
      </c>
      <c r="G5" s="46">
        <v>-16.635999999999999</v>
      </c>
      <c r="H5" s="46">
        <v>8.18</v>
      </c>
      <c r="I5" s="46">
        <v>0.89400000000000002</v>
      </c>
      <c r="J5" s="46">
        <v>13.183</v>
      </c>
      <c r="K5" s="48">
        <f t="shared" si="0"/>
        <v>16.6743998</v>
      </c>
      <c r="L5" s="49">
        <f t="shared" si="1"/>
        <v>3.2496093343056569</v>
      </c>
      <c r="M5" s="49">
        <f t="shared" si="2"/>
        <v>14.850526667781308</v>
      </c>
      <c r="N5" s="49">
        <f t="shared" si="3"/>
        <v>0.456253010113983</v>
      </c>
      <c r="O5" s="49">
        <f t="shared" si="4"/>
        <v>5.3315991749656941</v>
      </c>
      <c r="P5" s="47">
        <v>85</v>
      </c>
      <c r="Q5" s="47" t="s">
        <v>32</v>
      </c>
      <c r="R5" s="51" t="s">
        <v>20</v>
      </c>
      <c r="S5" s="51" t="s">
        <v>37</v>
      </c>
      <c r="U5" s="90">
        <f t="shared" si="5"/>
        <v>0.25000886646096476</v>
      </c>
      <c r="Y5" t="s">
        <v>95</v>
      </c>
      <c r="Z5" s="42">
        <f>AVERAGE(U12:U23,U25:U26,U35)</f>
        <v>0.25404139423508515</v>
      </c>
      <c r="AA5" s="93">
        <f>AVERAGE(U12:U23,U25:U26)</f>
        <v>0.26086543098876536</v>
      </c>
    </row>
    <row r="6" spans="1:27" x14ac:dyDescent="0.2">
      <c r="A6" s="51">
        <v>1</v>
      </c>
      <c r="B6" s="89" t="s">
        <v>62</v>
      </c>
      <c r="C6" s="46" t="s">
        <v>63</v>
      </c>
      <c r="D6" s="47">
        <v>9.0399999999999994E-2</v>
      </c>
      <c r="E6" s="46">
        <v>8.7219999999999995</v>
      </c>
      <c r="F6" s="46">
        <v>5.6310000000000002</v>
      </c>
      <c r="G6" s="46">
        <v>-18.338999999999999</v>
      </c>
      <c r="H6" s="46">
        <v>16.254000000000001</v>
      </c>
      <c r="I6" s="46">
        <v>1.57</v>
      </c>
      <c r="J6" s="46">
        <v>13.944000000000001</v>
      </c>
      <c r="K6" s="48">
        <f t="shared" si="0"/>
        <v>17.610886399999998</v>
      </c>
      <c r="L6" s="49">
        <f t="shared" si="1"/>
        <v>5.8259193666006874</v>
      </c>
      <c r="M6" s="49">
        <f t="shared" si="2"/>
        <v>28.349941481357639</v>
      </c>
      <c r="N6" s="49">
        <f t="shared" si="3"/>
        <v>0.72756461711350129</v>
      </c>
      <c r="O6" s="49">
        <f t="shared" si="4"/>
        <v>5.6772038277538277</v>
      </c>
      <c r="P6" s="47">
        <v>86</v>
      </c>
      <c r="Q6" s="47" t="s">
        <v>32</v>
      </c>
      <c r="R6" s="51" t="s">
        <v>20</v>
      </c>
      <c r="S6" s="51" t="s">
        <v>37</v>
      </c>
      <c r="U6" s="90">
        <f t="shared" si="5"/>
        <v>0.31360554736015089</v>
      </c>
    </row>
    <row r="7" spans="1:27" x14ac:dyDescent="0.2">
      <c r="A7" s="51">
        <v>1</v>
      </c>
      <c r="B7" s="89" t="s">
        <v>68</v>
      </c>
      <c r="C7" s="46" t="s">
        <v>69</v>
      </c>
      <c r="D7" s="47">
        <v>6.9800000000000001E-2</v>
      </c>
      <c r="E7" s="46">
        <v>8.8239999999999998</v>
      </c>
      <c r="F7" s="46">
        <v>8.2889999999999997</v>
      </c>
      <c r="G7" s="46">
        <v>-16.286999999999999</v>
      </c>
      <c r="H7" s="46">
        <v>21.585000000000001</v>
      </c>
      <c r="I7" s="46">
        <v>2.7080000000000002</v>
      </c>
      <c r="J7" s="46">
        <v>15.566000000000001</v>
      </c>
      <c r="K7" s="48">
        <f t="shared" si="0"/>
        <v>19.606919599999998</v>
      </c>
      <c r="L7" s="49">
        <f t="shared" si="1"/>
        <v>8.5949578081050113</v>
      </c>
      <c r="M7" s="49">
        <f t="shared" si="2"/>
        <v>37.263166694532693</v>
      </c>
      <c r="N7" s="49">
        <f t="shared" si="3"/>
        <v>1.1842992454647616</v>
      </c>
      <c r="O7" s="49">
        <f t="shared" si="4"/>
        <v>5.0580462926716505</v>
      </c>
      <c r="P7" s="47">
        <v>84</v>
      </c>
      <c r="Q7" s="47" t="s">
        <v>32</v>
      </c>
      <c r="R7" s="51" t="s">
        <v>20</v>
      </c>
      <c r="S7" s="51" t="s">
        <v>37</v>
      </c>
      <c r="U7" s="90">
        <f t="shared" si="5"/>
        <v>0.5338562563686633</v>
      </c>
    </row>
    <row r="8" spans="1:27" x14ac:dyDescent="0.2">
      <c r="A8" s="60">
        <v>2</v>
      </c>
      <c r="B8" s="61" t="s">
        <v>25</v>
      </c>
      <c r="C8" s="62" t="s">
        <v>78</v>
      </c>
      <c r="D8" s="61">
        <v>8.77E-2</v>
      </c>
      <c r="E8" s="62">
        <v>8.1950000000000003</v>
      </c>
      <c r="F8" s="62">
        <v>6.4790000000000001</v>
      </c>
      <c r="G8" s="62">
        <v>-17.228999999999999</v>
      </c>
      <c r="H8" s="62">
        <v>17.966999999999999</v>
      </c>
      <c r="I8" s="62">
        <v>1.702</v>
      </c>
      <c r="J8" s="62">
        <v>14.441000000000001</v>
      </c>
      <c r="K8" s="63">
        <f t="shared" ref="K8:K16" si="6">(J8*1.2306)+0.4514</f>
        <v>18.222494600000001</v>
      </c>
      <c r="L8" s="64">
        <f t="shared" ref="L8:L16" si="7">(F8-0.012)/1.0259</f>
        <v>6.3037333073398969</v>
      </c>
      <c r="M8" s="64">
        <f t="shared" ref="M8:M16" si="8">(H8-0.0444)/0.6303</f>
        <v>28.43503093764874</v>
      </c>
      <c r="N8" s="64">
        <f t="shared" ref="N8:N16" si="9">(I8+0.2944)/2.6242</f>
        <v>0.76076518558036732</v>
      </c>
      <c r="O8" s="64">
        <f t="shared" ref="O8:O16" si="10">(M8/12)/(L8/14)</f>
        <v>5.2626278973387173</v>
      </c>
      <c r="P8" s="61">
        <v>88</v>
      </c>
      <c r="Q8" s="61" t="s">
        <v>32</v>
      </c>
      <c r="R8" s="60" t="s">
        <v>20</v>
      </c>
      <c r="S8" s="60" t="s">
        <v>29</v>
      </c>
      <c r="U8" s="79">
        <f t="shared" si="5"/>
        <v>0.3242306834395523</v>
      </c>
    </row>
    <row r="9" spans="1:27" x14ac:dyDescent="0.2">
      <c r="A9" s="60">
        <v>2</v>
      </c>
      <c r="B9" s="61" t="s">
        <v>83</v>
      </c>
      <c r="C9" s="62" t="s">
        <v>84</v>
      </c>
      <c r="D9" s="61">
        <v>6.6100000000000006E-2</v>
      </c>
      <c r="E9" s="62">
        <v>8.9339999999999993</v>
      </c>
      <c r="F9" s="62">
        <v>5.3630000000000004</v>
      </c>
      <c r="G9" s="62">
        <v>-16.637</v>
      </c>
      <c r="H9" s="62">
        <v>14.275</v>
      </c>
      <c r="I9" s="62">
        <v>1.581</v>
      </c>
      <c r="J9" s="62">
        <v>15.093999999999999</v>
      </c>
      <c r="K9" s="63">
        <f t="shared" si="6"/>
        <v>19.026076399999997</v>
      </c>
      <c r="L9" s="64">
        <f t="shared" si="7"/>
        <v>5.2159079832342341</v>
      </c>
      <c r="M9" s="64">
        <f t="shared" si="8"/>
        <v>22.57750277645566</v>
      </c>
      <c r="N9" s="64">
        <f t="shared" si="9"/>
        <v>0.71465589512994432</v>
      </c>
      <c r="O9" s="64">
        <f t="shared" si="10"/>
        <v>5.0500162177960819</v>
      </c>
      <c r="P9" s="61">
        <v>91</v>
      </c>
      <c r="Q9" s="61" t="s">
        <v>32</v>
      </c>
      <c r="R9" s="60" t="s">
        <v>20</v>
      </c>
      <c r="S9" s="60" t="s">
        <v>29</v>
      </c>
      <c r="U9" s="79">
        <f t="shared" si="5"/>
        <v>0.34156585138359541</v>
      </c>
    </row>
    <row r="10" spans="1:27" x14ac:dyDescent="0.2">
      <c r="A10" s="59">
        <v>2</v>
      </c>
      <c r="B10" s="55" t="s">
        <v>89</v>
      </c>
      <c r="C10" s="54" t="s">
        <v>90</v>
      </c>
      <c r="D10" s="55">
        <v>9.7299999999999998E-2</v>
      </c>
      <c r="E10" s="54">
        <v>8.6859999999999999</v>
      </c>
      <c r="F10" s="54">
        <v>3.6619999999999999</v>
      </c>
      <c r="G10" s="54">
        <v>-17.919</v>
      </c>
      <c r="H10" s="54">
        <v>10.525</v>
      </c>
      <c r="I10" s="54">
        <v>1.2410000000000001</v>
      </c>
      <c r="J10" s="54">
        <v>14.734999999999999</v>
      </c>
      <c r="K10" s="56">
        <f t="shared" si="6"/>
        <v>18.584290999999997</v>
      </c>
      <c r="L10" s="57">
        <f t="shared" si="7"/>
        <v>3.5578516424602786</v>
      </c>
      <c r="M10" s="57">
        <f t="shared" si="8"/>
        <v>16.627954942091069</v>
      </c>
      <c r="N10" s="57">
        <f t="shared" si="9"/>
        <v>0.58509259964941696</v>
      </c>
      <c r="O10" s="57">
        <f t="shared" si="10"/>
        <v>5.452526613042858</v>
      </c>
      <c r="P10" s="55">
        <v>94</v>
      </c>
      <c r="Q10" s="55" t="s">
        <v>32</v>
      </c>
      <c r="R10" s="59" t="s">
        <v>20</v>
      </c>
      <c r="S10" s="59" t="s">
        <v>21</v>
      </c>
      <c r="U10" s="88">
        <f t="shared" si="5"/>
        <v>0.17089367874708192</v>
      </c>
    </row>
    <row r="11" spans="1:27" x14ac:dyDescent="0.2">
      <c r="A11" s="59">
        <v>2</v>
      </c>
      <c r="B11" s="55" t="s">
        <v>35</v>
      </c>
      <c r="C11" s="54" t="s">
        <v>103</v>
      </c>
      <c r="D11" s="55">
        <v>8.6400000000000005E-2</v>
      </c>
      <c r="E11" s="54">
        <v>8.4649999999999999</v>
      </c>
      <c r="F11" s="54">
        <v>2.8759999999999999</v>
      </c>
      <c r="G11" s="54">
        <v>-17.282</v>
      </c>
      <c r="H11" s="54">
        <v>7.9050000000000002</v>
      </c>
      <c r="I11" s="54">
        <v>0.93799999999999994</v>
      </c>
      <c r="J11" s="54">
        <v>13.933</v>
      </c>
      <c r="K11" s="56">
        <f t="shared" si="6"/>
        <v>17.5973498</v>
      </c>
      <c r="L11" s="57">
        <f t="shared" si="7"/>
        <v>2.7916950969880103</v>
      </c>
      <c r="M11" s="57">
        <f t="shared" si="8"/>
        <v>12.471204188481675</v>
      </c>
      <c r="N11" s="57">
        <f t="shared" si="9"/>
        <v>0.46962883926529986</v>
      </c>
      <c r="O11" s="57">
        <f t="shared" si="10"/>
        <v>5.2117934496475478</v>
      </c>
      <c r="P11" s="55">
        <v>92</v>
      </c>
      <c r="Q11" s="55" t="s">
        <v>32</v>
      </c>
      <c r="R11" s="59" t="s">
        <v>20</v>
      </c>
      <c r="S11" s="59" t="s">
        <v>21</v>
      </c>
      <c r="U11" s="88">
        <f t="shared" si="5"/>
        <v>0.14434264107038974</v>
      </c>
    </row>
    <row r="12" spans="1:27" x14ac:dyDescent="0.2">
      <c r="A12" s="5">
        <v>2</v>
      </c>
      <c r="B12" s="8" t="s">
        <v>114</v>
      </c>
      <c r="C12" s="7" t="s">
        <v>115</v>
      </c>
      <c r="D12" s="8">
        <v>6.5600000000000006E-2</v>
      </c>
      <c r="E12" s="7">
        <v>9.7650000000000006</v>
      </c>
      <c r="F12" s="7">
        <v>1.865</v>
      </c>
      <c r="G12" s="7">
        <v>-21.991</v>
      </c>
      <c r="H12" s="7">
        <v>5.4729999999999999</v>
      </c>
      <c r="I12" s="7">
        <v>0.41299999999999998</v>
      </c>
      <c r="J12" s="7">
        <v>11.347</v>
      </c>
      <c r="K12" s="10">
        <f t="shared" si="6"/>
        <v>14.415018199999999</v>
      </c>
      <c r="L12" s="11">
        <f t="shared" si="7"/>
        <v>1.8062189297202456</v>
      </c>
      <c r="M12" s="11">
        <f t="shared" si="8"/>
        <v>8.6127240996350931</v>
      </c>
      <c r="N12" s="11">
        <f t="shared" si="9"/>
        <v>0.26956786830272084</v>
      </c>
      <c r="O12" s="11">
        <f t="shared" si="10"/>
        <v>5.5631008793586529</v>
      </c>
      <c r="P12" s="8">
        <v>4</v>
      </c>
      <c r="Q12" s="8" t="s">
        <v>116</v>
      </c>
      <c r="R12" s="5" t="s">
        <v>94</v>
      </c>
      <c r="S12" s="5" t="s">
        <v>95</v>
      </c>
      <c r="U12" s="73">
        <f t="shared" si="5"/>
        <v>0.13129152590907153</v>
      </c>
    </row>
    <row r="13" spans="1:27" x14ac:dyDescent="0.2">
      <c r="A13" s="5">
        <v>2</v>
      </c>
      <c r="B13" s="8" t="s">
        <v>121</v>
      </c>
      <c r="C13" s="7" t="s">
        <v>122</v>
      </c>
      <c r="D13" s="8">
        <v>8.7300000000000003E-2</v>
      </c>
      <c r="E13" s="7">
        <v>10.039</v>
      </c>
      <c r="F13" s="7">
        <v>3.117</v>
      </c>
      <c r="G13" s="7">
        <v>-17.547999999999998</v>
      </c>
      <c r="H13" s="7">
        <v>8.2609999999999992</v>
      </c>
      <c r="I13" s="7">
        <v>0.80800000000000005</v>
      </c>
      <c r="J13" s="7">
        <v>10.734999999999999</v>
      </c>
      <c r="K13" s="10">
        <f t="shared" si="6"/>
        <v>13.661890999999997</v>
      </c>
      <c r="L13" s="11">
        <f t="shared" si="7"/>
        <v>3.0266107807778533</v>
      </c>
      <c r="M13" s="11">
        <f t="shared" si="8"/>
        <v>13.036014596224021</v>
      </c>
      <c r="N13" s="11">
        <f t="shared" si="9"/>
        <v>0.42008993216980411</v>
      </c>
      <c r="O13" s="11">
        <f t="shared" si="10"/>
        <v>5.0249882780388395</v>
      </c>
      <c r="P13" s="8">
        <v>8</v>
      </c>
      <c r="Q13" s="8" t="s">
        <v>32</v>
      </c>
      <c r="R13" s="5" t="s">
        <v>94</v>
      </c>
      <c r="S13" s="5" t="s">
        <v>95</v>
      </c>
      <c r="U13" s="73">
        <f t="shared" si="5"/>
        <v>0.14932433672650655</v>
      </c>
    </row>
    <row r="14" spans="1:27" x14ac:dyDescent="0.2">
      <c r="A14" s="5">
        <v>2</v>
      </c>
      <c r="B14" s="8" t="s">
        <v>41</v>
      </c>
      <c r="C14" s="7" t="s">
        <v>124</v>
      </c>
      <c r="D14" s="8">
        <v>6.1100000000000002E-2</v>
      </c>
      <c r="E14" s="7">
        <v>9.14</v>
      </c>
      <c r="F14" s="7">
        <v>3.9990000000000001</v>
      </c>
      <c r="G14" s="7">
        <v>-18.184000000000001</v>
      </c>
      <c r="H14" s="7">
        <v>11.659000000000001</v>
      </c>
      <c r="I14" s="7">
        <v>1.1739999999999999</v>
      </c>
      <c r="J14" s="7">
        <v>12.005000000000001</v>
      </c>
      <c r="K14" s="10">
        <f t="shared" si="6"/>
        <v>15.224753</v>
      </c>
      <c r="L14" s="11">
        <f t="shared" si="7"/>
        <v>3.8863436982162005</v>
      </c>
      <c r="M14" s="11">
        <f t="shared" si="8"/>
        <v>18.427098207202921</v>
      </c>
      <c r="N14" s="11">
        <f t="shared" si="9"/>
        <v>0.55956100906943063</v>
      </c>
      <c r="O14" s="11">
        <f t="shared" si="10"/>
        <v>5.5317498685472088</v>
      </c>
      <c r="P14" s="8">
        <v>9</v>
      </c>
      <c r="Q14" s="8" t="s">
        <v>32</v>
      </c>
      <c r="R14" s="5" t="s">
        <v>94</v>
      </c>
      <c r="S14" s="5" t="s">
        <v>95</v>
      </c>
      <c r="U14" s="73">
        <f t="shared" si="5"/>
        <v>0.30158916869399216</v>
      </c>
    </row>
    <row r="15" spans="1:27" x14ac:dyDescent="0.2">
      <c r="A15" s="5">
        <v>2</v>
      </c>
      <c r="B15" s="8" t="s">
        <v>43</v>
      </c>
      <c r="C15" s="7" t="s">
        <v>125</v>
      </c>
      <c r="D15" s="8">
        <v>6.9400000000000003E-2</v>
      </c>
      <c r="E15" s="7">
        <v>9.0069999999999997</v>
      </c>
      <c r="F15" s="7">
        <v>4.4249999999999998</v>
      </c>
      <c r="G15" s="7">
        <v>-17.228999999999999</v>
      </c>
      <c r="H15" s="7">
        <v>12.936999999999999</v>
      </c>
      <c r="I15" s="7">
        <v>1.147</v>
      </c>
      <c r="J15" s="7">
        <v>11.996</v>
      </c>
      <c r="K15" s="10">
        <f t="shared" si="6"/>
        <v>15.213677599999999</v>
      </c>
      <c r="L15" s="11">
        <f t="shared" si="7"/>
        <v>4.3015888488156744</v>
      </c>
      <c r="M15" s="11">
        <f t="shared" si="8"/>
        <v>20.45470410915437</v>
      </c>
      <c r="N15" s="11">
        <f t="shared" si="9"/>
        <v>0.54927215913421235</v>
      </c>
      <c r="O15" s="11">
        <f t="shared" si="10"/>
        <v>5.547676056313553</v>
      </c>
      <c r="P15" s="8">
        <v>13</v>
      </c>
      <c r="Q15" s="8" t="s">
        <v>32</v>
      </c>
      <c r="R15" s="5" t="s">
        <v>94</v>
      </c>
      <c r="S15" s="5" t="s">
        <v>95</v>
      </c>
      <c r="U15" s="73">
        <f t="shared" si="5"/>
        <v>0.29473637044891021</v>
      </c>
    </row>
    <row r="16" spans="1:27" x14ac:dyDescent="0.2">
      <c r="A16" s="5">
        <v>2</v>
      </c>
      <c r="B16" s="8" t="s">
        <v>126</v>
      </c>
      <c r="C16" s="7" t="s">
        <v>127</v>
      </c>
      <c r="D16" s="8">
        <v>7.7899999999999997E-2</v>
      </c>
      <c r="E16" s="7">
        <v>9.3059999999999992</v>
      </c>
      <c r="F16" s="7">
        <v>4.7549999999999999</v>
      </c>
      <c r="G16" s="7">
        <v>-18.657</v>
      </c>
      <c r="H16" s="7">
        <v>12.717000000000001</v>
      </c>
      <c r="I16" s="7">
        <v>1.6319999999999999</v>
      </c>
      <c r="J16" s="7">
        <v>12.488</v>
      </c>
      <c r="K16" s="10">
        <f t="shared" si="6"/>
        <v>15.819132799999998</v>
      </c>
      <c r="L16" s="11">
        <f t="shared" si="7"/>
        <v>4.6232576274490693</v>
      </c>
      <c r="M16" s="11">
        <f t="shared" si="8"/>
        <v>20.105663969538316</v>
      </c>
      <c r="N16" s="11">
        <f t="shared" si="9"/>
        <v>0.73409038945202343</v>
      </c>
      <c r="O16" s="11">
        <f t="shared" si="10"/>
        <v>5.0736103965298165</v>
      </c>
      <c r="P16" s="8">
        <v>10</v>
      </c>
      <c r="Q16" s="8" t="s">
        <v>32</v>
      </c>
      <c r="R16" s="5" t="s">
        <v>94</v>
      </c>
      <c r="S16" s="5" t="s">
        <v>95</v>
      </c>
      <c r="U16" s="73">
        <f t="shared" si="5"/>
        <v>0.25809581475658944</v>
      </c>
    </row>
    <row r="17" spans="1:27" x14ac:dyDescent="0.2">
      <c r="A17" s="22">
        <v>3</v>
      </c>
      <c r="B17" s="23" t="s">
        <v>81</v>
      </c>
      <c r="C17" s="24" t="s">
        <v>137</v>
      </c>
      <c r="D17" s="23">
        <v>5.96E-2</v>
      </c>
      <c r="E17" s="24">
        <v>7.6150000000000002</v>
      </c>
      <c r="F17" s="24">
        <v>1.0629999999999999</v>
      </c>
      <c r="G17" s="24">
        <v>-16.698</v>
      </c>
      <c r="H17" s="24">
        <v>3.6269999999999998</v>
      </c>
      <c r="I17" s="24">
        <v>45.332000000000001</v>
      </c>
      <c r="J17" s="24">
        <v>6.2670000000000003</v>
      </c>
      <c r="K17" s="10">
        <f t="shared" ref="K17:K26" si="11">(J17*1.2306)+0.4514</f>
        <v>8.1635702000000006</v>
      </c>
      <c r="L17" s="11">
        <f t="shared" ref="L17:L26" si="12">(F17+0.1928)/1.0771</f>
        <v>1.1659084578962029</v>
      </c>
      <c r="M17" s="11">
        <f t="shared" ref="M17:M26" si="13">(H17+1.5229)/0.6745</f>
        <v>7.6351371386212001</v>
      </c>
      <c r="N17" s="11">
        <f t="shared" ref="N17:N26" si="14">(I17+0.2944)/2.6242</f>
        <v>17.386784543860987</v>
      </c>
      <c r="O17" s="11">
        <f t="shared" ref="O17:O26" si="15">(M17/12)/(L17/14)</f>
        <v>7.6401023894545643</v>
      </c>
      <c r="P17" s="23">
        <v>12</v>
      </c>
      <c r="Q17" s="25" t="s">
        <v>32</v>
      </c>
      <c r="R17" s="22" t="s">
        <v>94</v>
      </c>
      <c r="S17" s="22" t="s">
        <v>95</v>
      </c>
      <c r="U17" s="73">
        <f t="shared" si="5"/>
        <v>0.12810632782921477</v>
      </c>
    </row>
    <row r="18" spans="1:27" x14ac:dyDescent="0.2">
      <c r="A18" s="22">
        <v>3</v>
      </c>
      <c r="B18" s="23" t="s">
        <v>83</v>
      </c>
      <c r="C18" s="24" t="s">
        <v>138</v>
      </c>
      <c r="D18" s="23">
        <v>4.48E-2</v>
      </c>
      <c r="E18" s="24">
        <v>10.119999999999999</v>
      </c>
      <c r="F18" s="24">
        <v>2.012</v>
      </c>
      <c r="G18" s="24">
        <v>-20.943000000000001</v>
      </c>
      <c r="H18" s="24">
        <v>5.9710000000000001</v>
      </c>
      <c r="I18" s="24">
        <v>0.46899999999999997</v>
      </c>
      <c r="J18" s="24">
        <v>10.952999999999999</v>
      </c>
      <c r="K18" s="10">
        <f t="shared" si="11"/>
        <v>13.930161799999999</v>
      </c>
      <c r="L18" s="11">
        <f t="shared" si="12"/>
        <v>2.0469779964720085</v>
      </c>
      <c r="M18" s="11">
        <f t="shared" si="13"/>
        <v>11.110303928836176</v>
      </c>
      <c r="N18" s="11">
        <f t="shared" si="14"/>
        <v>0.29090770520539588</v>
      </c>
      <c r="O18" s="11">
        <f t="shared" si="15"/>
        <v>6.332271901627216</v>
      </c>
      <c r="P18" s="23">
        <v>3</v>
      </c>
      <c r="Q18" s="25" t="s">
        <v>116</v>
      </c>
      <c r="R18" s="22" t="s">
        <v>94</v>
      </c>
      <c r="S18" s="22" t="s">
        <v>95</v>
      </c>
      <c r="U18" s="73">
        <f t="shared" si="5"/>
        <v>0.24799785555437895</v>
      </c>
    </row>
    <row r="19" spans="1:27" x14ac:dyDescent="0.2">
      <c r="A19" s="22">
        <v>3</v>
      </c>
      <c r="B19" s="23" t="s">
        <v>89</v>
      </c>
      <c r="C19" s="24" t="s">
        <v>141</v>
      </c>
      <c r="D19" s="23">
        <v>4.2299999999999997E-2</v>
      </c>
      <c r="E19" s="24">
        <v>7.7839999999999998</v>
      </c>
      <c r="F19" s="24">
        <v>2.081</v>
      </c>
      <c r="G19" s="24">
        <v>-16.939</v>
      </c>
      <c r="H19" s="24">
        <v>6.7329999999999997</v>
      </c>
      <c r="I19" s="24">
        <v>0.46300000000000002</v>
      </c>
      <c r="J19" s="24">
        <v>10.955</v>
      </c>
      <c r="K19" s="10">
        <f t="shared" si="11"/>
        <v>13.932623</v>
      </c>
      <c r="L19" s="11">
        <f t="shared" si="12"/>
        <v>2.1110389007520194</v>
      </c>
      <c r="M19" s="11">
        <f t="shared" si="13"/>
        <v>12.240029651593774</v>
      </c>
      <c r="N19" s="11">
        <f t="shared" si="14"/>
        <v>0.28862129410868076</v>
      </c>
      <c r="O19" s="11">
        <f t="shared" si="15"/>
        <v>6.7644582903891859</v>
      </c>
      <c r="P19" s="23">
        <v>14</v>
      </c>
      <c r="Q19" s="25" t="s">
        <v>32</v>
      </c>
      <c r="R19" s="22" t="s">
        <v>94</v>
      </c>
      <c r="S19" s="22" t="s">
        <v>95</v>
      </c>
      <c r="U19" s="73">
        <f t="shared" si="5"/>
        <v>0.28936240311096395</v>
      </c>
    </row>
    <row r="20" spans="1:27" x14ac:dyDescent="0.2">
      <c r="A20" s="22">
        <v>3</v>
      </c>
      <c r="B20" s="23" t="s">
        <v>91</v>
      </c>
      <c r="C20" s="24" t="s">
        <v>142</v>
      </c>
      <c r="D20" s="23">
        <v>5.6099999999999997E-2</v>
      </c>
      <c r="E20" s="24">
        <v>8.9380000000000006</v>
      </c>
      <c r="F20" s="24">
        <v>2.1789999999999998</v>
      </c>
      <c r="G20" s="24">
        <v>-21.04</v>
      </c>
      <c r="H20" s="24">
        <v>6.7889999999999997</v>
      </c>
      <c r="I20" s="24">
        <v>0.505</v>
      </c>
      <c r="J20" s="24">
        <v>11.972</v>
      </c>
      <c r="K20" s="10">
        <f t="shared" si="11"/>
        <v>15.184143199999998</v>
      </c>
      <c r="L20" s="11">
        <f t="shared" si="12"/>
        <v>2.2020239532076875</v>
      </c>
      <c r="M20" s="11">
        <f t="shared" si="13"/>
        <v>12.323054114158635</v>
      </c>
      <c r="N20" s="11">
        <f t="shared" si="14"/>
        <v>0.30462617178568707</v>
      </c>
      <c r="O20" s="11">
        <f t="shared" si="15"/>
        <v>6.5289464474605676</v>
      </c>
      <c r="P20" s="23">
        <v>6</v>
      </c>
      <c r="Q20" s="25" t="s">
        <v>116</v>
      </c>
      <c r="R20" s="22" t="s">
        <v>94</v>
      </c>
      <c r="S20" s="22" t="s">
        <v>95</v>
      </c>
      <c r="U20" s="73">
        <f t="shared" si="5"/>
        <v>0.219662283674842</v>
      </c>
    </row>
    <row r="21" spans="1:27" x14ac:dyDescent="0.2">
      <c r="A21" s="22">
        <v>3</v>
      </c>
      <c r="B21" s="23" t="s">
        <v>99</v>
      </c>
      <c r="C21" s="24" t="s">
        <v>144</v>
      </c>
      <c r="D21" s="23">
        <v>4.0599999999999997E-2</v>
      </c>
      <c r="E21" s="24">
        <v>10.122999999999999</v>
      </c>
      <c r="F21" s="24">
        <v>2.536</v>
      </c>
      <c r="G21" s="24">
        <v>-20.658000000000001</v>
      </c>
      <c r="H21" s="24">
        <v>7.9649999999999999</v>
      </c>
      <c r="I21" s="24">
        <v>0.56200000000000006</v>
      </c>
      <c r="J21" s="24">
        <v>12.157</v>
      </c>
      <c r="K21" s="10">
        <f t="shared" si="11"/>
        <v>15.411804199999999</v>
      </c>
      <c r="L21" s="11">
        <f t="shared" si="12"/>
        <v>2.5334695014390496</v>
      </c>
      <c r="M21" s="11">
        <f t="shared" si="13"/>
        <v>14.066567828020757</v>
      </c>
      <c r="N21" s="11">
        <f t="shared" si="14"/>
        <v>0.32634707720448136</v>
      </c>
      <c r="O21" s="11">
        <f t="shared" si="15"/>
        <v>6.4776764788507819</v>
      </c>
      <c r="P21" s="23">
        <v>2</v>
      </c>
      <c r="Q21" s="25" t="s">
        <v>116</v>
      </c>
      <c r="R21" s="22" t="s">
        <v>94</v>
      </c>
      <c r="S21" s="22" t="s">
        <v>95</v>
      </c>
      <c r="U21" s="73">
        <f t="shared" si="5"/>
        <v>0.3464671878822847</v>
      </c>
    </row>
    <row r="22" spans="1:27" x14ac:dyDescent="0.2">
      <c r="A22" s="22">
        <v>3</v>
      </c>
      <c r="B22" s="23" t="s">
        <v>30</v>
      </c>
      <c r="C22" s="24" t="s">
        <v>145</v>
      </c>
      <c r="D22" s="23">
        <v>4.58E-2</v>
      </c>
      <c r="E22" s="24">
        <v>9.3930000000000007</v>
      </c>
      <c r="F22" s="24">
        <v>2.8809999999999998</v>
      </c>
      <c r="G22" s="24">
        <v>-20.042000000000002</v>
      </c>
      <c r="H22" s="24">
        <v>8.1329999999999991</v>
      </c>
      <c r="I22" s="24">
        <v>0.66700000000000004</v>
      </c>
      <c r="J22" s="24">
        <v>11.808</v>
      </c>
      <c r="K22" s="10">
        <f t="shared" si="11"/>
        <v>14.982324799999999</v>
      </c>
      <c r="L22" s="11">
        <f t="shared" si="12"/>
        <v>2.8537740228391049</v>
      </c>
      <c r="M22" s="11">
        <f t="shared" si="13"/>
        <v>14.315641215715344</v>
      </c>
      <c r="N22" s="11">
        <f t="shared" si="14"/>
        <v>0.3663592713969972</v>
      </c>
      <c r="O22" s="11">
        <f t="shared" si="15"/>
        <v>5.8524540782380647</v>
      </c>
      <c r="P22" s="23">
        <v>1</v>
      </c>
      <c r="Q22" s="25" t="s">
        <v>116</v>
      </c>
      <c r="R22" s="22" t="s">
        <v>94</v>
      </c>
      <c r="S22" s="22" t="s">
        <v>95</v>
      </c>
      <c r="U22" s="73">
        <f t="shared" si="5"/>
        <v>0.31256858549596822</v>
      </c>
    </row>
    <row r="23" spans="1:27" x14ac:dyDescent="0.2">
      <c r="A23" s="22">
        <v>3</v>
      </c>
      <c r="B23" s="23" t="s">
        <v>33</v>
      </c>
      <c r="C23" s="24" t="s">
        <v>146</v>
      </c>
      <c r="D23" s="23">
        <v>4.4999999999999998E-2</v>
      </c>
      <c r="E23" s="24">
        <v>9.1180000000000003</v>
      </c>
      <c r="F23" s="24">
        <v>3.7040000000000002</v>
      </c>
      <c r="G23" s="24">
        <v>-19.379000000000001</v>
      </c>
      <c r="H23" s="24">
        <v>10.71</v>
      </c>
      <c r="I23" s="24">
        <v>0.95199999999999996</v>
      </c>
      <c r="J23" s="24">
        <v>12.266999999999999</v>
      </c>
      <c r="K23" s="10">
        <f t="shared" si="11"/>
        <v>15.547170199999998</v>
      </c>
      <c r="L23" s="11">
        <f t="shared" si="12"/>
        <v>3.6178627796861949</v>
      </c>
      <c r="M23" s="11">
        <f t="shared" si="13"/>
        <v>18.136249073387695</v>
      </c>
      <c r="N23" s="11">
        <f t="shared" si="14"/>
        <v>0.47496379849096865</v>
      </c>
      <c r="O23" s="11">
        <f t="shared" si="15"/>
        <v>5.8484687067431906</v>
      </c>
      <c r="P23" s="23">
        <v>11</v>
      </c>
      <c r="Q23" s="25" t="s">
        <v>32</v>
      </c>
      <c r="R23" s="22" t="s">
        <v>94</v>
      </c>
      <c r="S23" s="22" t="s">
        <v>95</v>
      </c>
      <c r="U23" s="73">
        <f t="shared" si="5"/>
        <v>0.40302775718639322</v>
      </c>
    </row>
    <row r="24" spans="1:27" x14ac:dyDescent="0.2">
      <c r="A24" s="44">
        <v>3</v>
      </c>
      <c r="B24" s="45" t="s">
        <v>106</v>
      </c>
      <c r="C24" s="91" t="s">
        <v>149</v>
      </c>
      <c r="D24" s="45">
        <v>4.41E-2</v>
      </c>
      <c r="E24" s="91">
        <v>8.2050000000000001</v>
      </c>
      <c r="F24" s="91">
        <v>2.2610000000000001</v>
      </c>
      <c r="G24" s="91">
        <v>-17.041</v>
      </c>
      <c r="H24" s="91">
        <v>6.4829999999999997</v>
      </c>
      <c r="I24" s="91">
        <v>0.93700000000000006</v>
      </c>
      <c r="J24" s="91">
        <v>15.396000000000001</v>
      </c>
      <c r="K24" s="48">
        <f t="shared" si="11"/>
        <v>19.3977176</v>
      </c>
      <c r="L24" s="49">
        <f t="shared" si="12"/>
        <v>2.2781543032216138</v>
      </c>
      <c r="M24" s="49">
        <f t="shared" si="13"/>
        <v>11.869384729429207</v>
      </c>
      <c r="N24" s="49">
        <f t="shared" si="14"/>
        <v>0.46924777074918073</v>
      </c>
      <c r="O24" s="49">
        <f t="shared" si="15"/>
        <v>6.0784361700544309</v>
      </c>
      <c r="P24" s="45">
        <v>87</v>
      </c>
      <c r="Q24" s="50" t="s">
        <v>32</v>
      </c>
      <c r="R24" s="44" t="s">
        <v>20</v>
      </c>
      <c r="S24" s="44" t="s">
        <v>37</v>
      </c>
      <c r="U24" s="90">
        <f t="shared" si="5"/>
        <v>0.26914704601880285</v>
      </c>
    </row>
    <row r="25" spans="1:27" x14ac:dyDescent="0.2">
      <c r="A25" s="22">
        <v>3</v>
      </c>
      <c r="B25" s="23" t="s">
        <v>112</v>
      </c>
      <c r="C25" s="24" t="s">
        <v>152</v>
      </c>
      <c r="D25" s="23">
        <v>6.7699999999999996E-2</v>
      </c>
      <c r="E25" s="24">
        <v>9.43</v>
      </c>
      <c r="F25" s="24">
        <v>4.8390000000000004</v>
      </c>
      <c r="G25" s="24">
        <v>-19.84</v>
      </c>
      <c r="H25" s="24">
        <v>13.545</v>
      </c>
      <c r="I25" s="24">
        <v>1.0780000000000001</v>
      </c>
      <c r="J25" s="24">
        <v>13.202999999999999</v>
      </c>
      <c r="K25" s="10">
        <f t="shared" si="11"/>
        <v>16.699011799999997</v>
      </c>
      <c r="L25" s="11">
        <f t="shared" si="12"/>
        <v>4.6716182341472479</v>
      </c>
      <c r="M25" s="11">
        <f t="shared" si="13"/>
        <v>22.339362490733876</v>
      </c>
      <c r="N25" s="11">
        <f t="shared" si="14"/>
        <v>0.52297843152198764</v>
      </c>
      <c r="O25" s="11">
        <f t="shared" si="15"/>
        <v>5.578921107469367</v>
      </c>
      <c r="P25" s="23">
        <v>5</v>
      </c>
      <c r="Q25" s="25" t="s">
        <v>116</v>
      </c>
      <c r="R25" s="22" t="s">
        <v>94</v>
      </c>
      <c r="S25" s="22" t="s">
        <v>95</v>
      </c>
      <c r="U25" s="73">
        <f t="shared" si="5"/>
        <v>0.32997581227081058</v>
      </c>
    </row>
    <row r="26" spans="1:27" x14ac:dyDescent="0.2">
      <c r="A26" s="22">
        <v>3</v>
      </c>
      <c r="B26" s="23" t="s">
        <v>114</v>
      </c>
      <c r="C26" s="24" t="s">
        <v>153</v>
      </c>
      <c r="D26" s="23">
        <v>5.3800000000000001E-2</v>
      </c>
      <c r="E26" s="24">
        <v>8.4239999999999995</v>
      </c>
      <c r="F26" s="24">
        <v>2.3929999999999998</v>
      </c>
      <c r="G26" s="24">
        <v>-17.27</v>
      </c>
      <c r="H26" s="24">
        <v>7.1829999999999998</v>
      </c>
      <c r="I26" s="24">
        <v>0.68700000000000006</v>
      </c>
      <c r="J26" s="24">
        <v>13.089</v>
      </c>
      <c r="K26" s="10">
        <f t="shared" si="11"/>
        <v>16.558723399999998</v>
      </c>
      <c r="L26" s="11">
        <f t="shared" si="12"/>
        <v>2.4007055983659829</v>
      </c>
      <c r="M26" s="11">
        <f t="shared" si="13"/>
        <v>12.907190511489992</v>
      </c>
      <c r="N26" s="11">
        <f t="shared" si="14"/>
        <v>0.37398064171938117</v>
      </c>
      <c r="O26" s="11">
        <f t="shared" si="15"/>
        <v>6.272484614657043</v>
      </c>
      <c r="P26" s="23">
        <v>15</v>
      </c>
      <c r="Q26" s="25" t="s">
        <v>32</v>
      </c>
      <c r="R26" s="22" t="s">
        <v>94</v>
      </c>
      <c r="S26" s="22" t="s">
        <v>95</v>
      </c>
      <c r="U26" s="73">
        <f t="shared" si="5"/>
        <v>0.23991060430278796</v>
      </c>
    </row>
    <row r="27" spans="1:27" x14ac:dyDescent="0.2">
      <c r="A27" s="51">
        <v>4</v>
      </c>
      <c r="B27" s="47" t="s">
        <v>17</v>
      </c>
      <c r="C27" s="46" t="s">
        <v>162</v>
      </c>
      <c r="D27" s="47">
        <v>3.1099999999999999E-2</v>
      </c>
      <c r="E27" s="46">
        <v>8.2929999999999993</v>
      </c>
      <c r="F27" s="46">
        <v>2.1150000000000002</v>
      </c>
      <c r="G27" s="46">
        <v>-17.876999999999999</v>
      </c>
      <c r="H27" s="46">
        <v>6.2930000000000001</v>
      </c>
      <c r="I27" s="46">
        <v>0.42599999999999999</v>
      </c>
      <c r="J27" s="46">
        <v>11.302</v>
      </c>
      <c r="K27" s="48">
        <f t="shared" ref="K27:K34" si="16">(J27*1.1306)+0.4514</f>
        <v>13.2294412</v>
      </c>
      <c r="L27" s="49">
        <f t="shared" ref="L27:L34" si="17">(F27+0.4001)/1.048</f>
        <v>2.3999045801526719</v>
      </c>
      <c r="M27" s="49">
        <f t="shared" ref="M27:M34" si="18">(H27+1.8141)/0.6406</f>
        <v>12.655479238214177</v>
      </c>
      <c r="N27" s="49">
        <f t="shared" ref="N27:N34" si="19">(I27+0.445)/3.0192</f>
        <v>0.28848701642819291</v>
      </c>
      <c r="O27" s="49">
        <f t="shared" ref="O27:O34" si="20">(M27/12)/(L27/14)</f>
        <v>6.152213675502578</v>
      </c>
      <c r="P27" s="47">
        <v>96</v>
      </c>
      <c r="Q27" s="50" t="s">
        <v>116</v>
      </c>
      <c r="R27" s="44" t="s">
        <v>20</v>
      </c>
      <c r="S27" s="44" t="s">
        <v>37</v>
      </c>
      <c r="U27" s="90">
        <f t="shared" si="5"/>
        <v>0.4069285928686231</v>
      </c>
    </row>
    <row r="28" spans="1:27" s="72" customFormat="1" x14ac:dyDescent="0.2">
      <c r="A28" s="60">
        <v>4</v>
      </c>
      <c r="B28" s="80" t="s">
        <v>25</v>
      </c>
      <c r="C28" s="81" t="s">
        <v>164</v>
      </c>
      <c r="D28" s="82">
        <v>3.3599999999999998E-2</v>
      </c>
      <c r="E28" s="83">
        <v>9.2360000000000007</v>
      </c>
      <c r="F28" s="83">
        <v>2.5569999999999999</v>
      </c>
      <c r="G28" s="83">
        <v>-17.106000000000002</v>
      </c>
      <c r="H28" s="83">
        <v>6.6130000000000004</v>
      </c>
      <c r="I28" s="83">
        <v>0.84899999999999998</v>
      </c>
      <c r="J28" s="83">
        <v>13.038</v>
      </c>
      <c r="K28" s="63">
        <f t="shared" si="16"/>
        <v>15.1921628</v>
      </c>
      <c r="L28" s="64">
        <f t="shared" si="17"/>
        <v>2.8216603053435114</v>
      </c>
      <c r="M28" s="64">
        <f t="shared" si="18"/>
        <v>13.155010927255701</v>
      </c>
      <c r="N28" s="64">
        <f t="shared" si="19"/>
        <v>0.42859035506094328</v>
      </c>
      <c r="O28" s="64">
        <f t="shared" si="20"/>
        <v>5.4391780326641985</v>
      </c>
      <c r="P28" s="82">
        <v>99</v>
      </c>
      <c r="Q28" s="65" t="s">
        <v>116</v>
      </c>
      <c r="R28" s="66" t="s">
        <v>20</v>
      </c>
      <c r="S28" s="66" t="s">
        <v>29</v>
      </c>
      <c r="U28" s="79">
        <f t="shared" si="5"/>
        <v>0.39151818235880059</v>
      </c>
      <c r="V28"/>
      <c r="W28"/>
      <c r="X28"/>
      <c r="Y28"/>
      <c r="Z28"/>
      <c r="AA28"/>
    </row>
    <row r="29" spans="1:27" x14ac:dyDescent="0.2">
      <c r="A29" s="59">
        <v>4</v>
      </c>
      <c r="B29" s="55" t="s">
        <v>81</v>
      </c>
      <c r="C29" s="54" t="s">
        <v>166</v>
      </c>
      <c r="D29" s="55">
        <v>3.3599999999999998E-2</v>
      </c>
      <c r="E29" s="54">
        <v>8.4830000000000005</v>
      </c>
      <c r="F29" s="54">
        <v>2.391</v>
      </c>
      <c r="G29" s="54">
        <v>-15.755000000000001</v>
      </c>
      <c r="H29" s="54">
        <v>6.4130000000000003</v>
      </c>
      <c r="I29" s="54">
        <v>0.59199999999999997</v>
      </c>
      <c r="J29" s="54">
        <v>13.772</v>
      </c>
      <c r="K29" s="56">
        <f t="shared" si="16"/>
        <v>16.022023200000003</v>
      </c>
      <c r="L29" s="57">
        <f t="shared" si="17"/>
        <v>2.6632633587786261</v>
      </c>
      <c r="M29" s="57">
        <f t="shared" si="18"/>
        <v>12.842803621604746</v>
      </c>
      <c r="N29" s="57">
        <f t="shared" si="19"/>
        <v>0.34346846846846846</v>
      </c>
      <c r="O29" s="57">
        <f t="shared" si="20"/>
        <v>5.6259065940604316</v>
      </c>
      <c r="P29" s="55">
        <v>95</v>
      </c>
      <c r="Q29" s="58" t="s">
        <v>32</v>
      </c>
      <c r="R29" s="52" t="s">
        <v>20</v>
      </c>
      <c r="S29" s="52" t="s">
        <v>21</v>
      </c>
      <c r="U29" s="88">
        <f t="shared" si="5"/>
        <v>0.38222629826204602</v>
      </c>
    </row>
    <row r="30" spans="1:27" x14ac:dyDescent="0.2">
      <c r="A30" s="59">
        <v>4</v>
      </c>
      <c r="B30" s="55" t="s">
        <v>30</v>
      </c>
      <c r="C30" s="54" t="s">
        <v>176</v>
      </c>
      <c r="D30" s="55">
        <v>3.4200000000000001E-2</v>
      </c>
      <c r="E30" s="54">
        <v>8.6519999999999992</v>
      </c>
      <c r="F30" s="54">
        <v>2.8719999999999999</v>
      </c>
      <c r="G30" s="54">
        <v>-18.361000000000001</v>
      </c>
      <c r="H30" s="54">
        <v>7.3479999999999999</v>
      </c>
      <c r="I30" s="54">
        <v>0.51900000000000002</v>
      </c>
      <c r="J30" s="54">
        <v>13.565</v>
      </c>
      <c r="K30" s="56">
        <f t="shared" si="16"/>
        <v>15.787989</v>
      </c>
      <c r="L30" s="57">
        <f t="shared" si="17"/>
        <v>3.1222328244274808</v>
      </c>
      <c r="M30" s="57">
        <f t="shared" si="18"/>
        <v>14.302372775522949</v>
      </c>
      <c r="N30" s="57">
        <f t="shared" si="19"/>
        <v>0.31928987811340748</v>
      </c>
      <c r="O30" s="57">
        <f t="shared" si="20"/>
        <v>5.3442848466956159</v>
      </c>
      <c r="P30" s="55">
        <v>103</v>
      </c>
      <c r="Q30" s="58" t="s">
        <v>116</v>
      </c>
      <c r="R30" s="52" t="s">
        <v>20</v>
      </c>
      <c r="S30" s="52" t="s">
        <v>21</v>
      </c>
      <c r="U30" s="88">
        <f t="shared" si="5"/>
        <v>0.41819803437201603</v>
      </c>
    </row>
    <row r="31" spans="1:27" x14ac:dyDescent="0.2">
      <c r="A31" s="51">
        <v>4</v>
      </c>
      <c r="B31" s="47" t="s">
        <v>104</v>
      </c>
      <c r="C31" s="46" t="s">
        <v>179</v>
      </c>
      <c r="D31" s="47">
        <v>3.3799999999999997E-2</v>
      </c>
      <c r="E31" s="46">
        <v>7.9130000000000003</v>
      </c>
      <c r="F31" s="46">
        <v>2.0760000000000001</v>
      </c>
      <c r="G31" s="46">
        <v>-18.562000000000001</v>
      </c>
      <c r="H31" s="46">
        <v>6.4749999999999996</v>
      </c>
      <c r="I31" s="46">
        <v>0.48</v>
      </c>
      <c r="J31" s="46">
        <v>13.077</v>
      </c>
      <c r="K31" s="48">
        <f t="shared" si="16"/>
        <v>15.2362562</v>
      </c>
      <c r="L31" s="49">
        <f t="shared" si="17"/>
        <v>2.3626908396946567</v>
      </c>
      <c r="M31" s="49">
        <f t="shared" si="18"/>
        <v>12.939587886356541</v>
      </c>
      <c r="N31" s="49">
        <f t="shared" si="19"/>
        <v>0.30637254901960786</v>
      </c>
      <c r="O31" s="49">
        <f t="shared" si="20"/>
        <v>6.3894038161027149</v>
      </c>
      <c r="P31" s="47">
        <v>97</v>
      </c>
      <c r="Q31" s="50" t="s">
        <v>116</v>
      </c>
      <c r="R31" s="44" t="s">
        <v>20</v>
      </c>
      <c r="S31" s="44" t="s">
        <v>37</v>
      </c>
      <c r="U31" s="90">
        <f t="shared" si="5"/>
        <v>0.38282804397504566</v>
      </c>
    </row>
    <row r="32" spans="1:27" x14ac:dyDescent="0.2">
      <c r="A32" s="59">
        <v>4</v>
      </c>
      <c r="B32" s="55" t="s">
        <v>117</v>
      </c>
      <c r="C32" s="54" t="s">
        <v>185</v>
      </c>
      <c r="D32" s="55">
        <v>3.9199999999999999E-2</v>
      </c>
      <c r="E32" s="54">
        <v>8.1180000000000003</v>
      </c>
      <c r="F32" s="54">
        <v>2.5750000000000002</v>
      </c>
      <c r="G32" s="54">
        <v>-18.943000000000001</v>
      </c>
      <c r="H32" s="54">
        <v>8.16</v>
      </c>
      <c r="I32" s="54">
        <v>0.63200000000000001</v>
      </c>
      <c r="J32" s="54">
        <v>13.503</v>
      </c>
      <c r="K32" s="56">
        <f t="shared" si="16"/>
        <v>15.7178918</v>
      </c>
      <c r="L32" s="57">
        <f t="shared" si="17"/>
        <v>2.8388358778625955</v>
      </c>
      <c r="M32" s="57">
        <f t="shared" si="18"/>
        <v>15.569934436465815</v>
      </c>
      <c r="N32" s="57">
        <f t="shared" si="19"/>
        <v>0.3567170111287758</v>
      </c>
      <c r="O32" s="57">
        <f t="shared" si="20"/>
        <v>6.398722677440154</v>
      </c>
      <c r="P32" s="55">
        <v>101</v>
      </c>
      <c r="Q32" s="58" t="s">
        <v>116</v>
      </c>
      <c r="R32" s="52" t="s">
        <v>20</v>
      </c>
      <c r="S32" s="52" t="s">
        <v>21</v>
      </c>
      <c r="U32" s="88">
        <f t="shared" si="5"/>
        <v>0.39719220501188307</v>
      </c>
    </row>
    <row r="33" spans="1:21" x14ac:dyDescent="0.2">
      <c r="A33" s="59">
        <v>4</v>
      </c>
      <c r="B33" s="55" t="s">
        <v>43</v>
      </c>
      <c r="C33" s="54" t="s">
        <v>190</v>
      </c>
      <c r="D33" s="55">
        <v>3.4500000000000003E-2</v>
      </c>
      <c r="E33" s="54">
        <v>9.0589999999999993</v>
      </c>
      <c r="F33" s="54">
        <v>2.7290000000000001</v>
      </c>
      <c r="G33" s="54">
        <v>-18.483000000000001</v>
      </c>
      <c r="H33" s="54">
        <v>8.7789999999999999</v>
      </c>
      <c r="I33" s="54">
        <v>0.64100000000000001</v>
      </c>
      <c r="J33" s="54">
        <v>13.981</v>
      </c>
      <c r="K33" s="56">
        <f t="shared" si="16"/>
        <v>16.258318600000003</v>
      </c>
      <c r="L33" s="57">
        <f t="shared" si="17"/>
        <v>2.9857824427480919</v>
      </c>
      <c r="M33" s="57">
        <f t="shared" si="18"/>
        <v>16.536216047455511</v>
      </c>
      <c r="N33" s="57">
        <f t="shared" si="19"/>
        <v>0.359697933227345</v>
      </c>
      <c r="O33" s="57">
        <f t="shared" si="20"/>
        <v>6.4613723287917519</v>
      </c>
      <c r="P33" s="55">
        <v>102</v>
      </c>
      <c r="Q33" s="58" t="s">
        <v>116</v>
      </c>
      <c r="R33" s="52" t="s">
        <v>20</v>
      </c>
      <c r="S33" s="52" t="s">
        <v>21</v>
      </c>
      <c r="U33" s="88">
        <f t="shared" si="5"/>
        <v>0.47931061007117426</v>
      </c>
    </row>
    <row r="34" spans="1:21" x14ac:dyDescent="0.2">
      <c r="A34" s="60">
        <v>4</v>
      </c>
      <c r="B34" s="61" t="s">
        <v>196</v>
      </c>
      <c r="C34" s="62" t="s">
        <v>197</v>
      </c>
      <c r="D34" s="61">
        <v>2.9899999999999999E-2</v>
      </c>
      <c r="E34" s="62">
        <v>8.5289999999999999</v>
      </c>
      <c r="F34" s="62">
        <v>2.0649999999999999</v>
      </c>
      <c r="G34" s="62">
        <v>-18.832999999999998</v>
      </c>
      <c r="H34" s="62">
        <v>6.3719999999999999</v>
      </c>
      <c r="I34" s="62">
        <v>0.46600000000000003</v>
      </c>
      <c r="J34" s="62">
        <v>14.08</v>
      </c>
      <c r="K34" s="63">
        <f t="shared" si="16"/>
        <v>16.370248</v>
      </c>
      <c r="L34" s="64">
        <f t="shared" si="17"/>
        <v>2.3521946564885496</v>
      </c>
      <c r="M34" s="64">
        <f t="shared" si="18"/>
        <v>12.778801123946302</v>
      </c>
      <c r="N34" s="64">
        <f t="shared" si="19"/>
        <v>0.30173555908850025</v>
      </c>
      <c r="O34" s="64">
        <f t="shared" si="20"/>
        <v>6.338166473656921</v>
      </c>
      <c r="P34" s="61">
        <v>98</v>
      </c>
      <c r="Q34" s="65" t="s">
        <v>116</v>
      </c>
      <c r="R34" s="66" t="s">
        <v>20</v>
      </c>
      <c r="S34" s="66" t="s">
        <v>29</v>
      </c>
      <c r="U34" s="79">
        <f t="shared" si="5"/>
        <v>0.42738465297479272</v>
      </c>
    </row>
    <row r="35" spans="1:21" x14ac:dyDescent="0.2">
      <c r="A35" s="5">
        <v>4</v>
      </c>
      <c r="B35" s="8" t="s">
        <v>219</v>
      </c>
      <c r="C35" s="7" t="s">
        <v>220</v>
      </c>
      <c r="D35" s="8">
        <v>0.1389</v>
      </c>
      <c r="E35" s="9">
        <v>6.2320000000000002</v>
      </c>
      <c r="F35" s="9">
        <v>0.51300000000000001</v>
      </c>
      <c r="G35" s="24">
        <v>-14.393000000000001</v>
      </c>
      <c r="H35" s="24">
        <v>10.840999999999999</v>
      </c>
      <c r="I35" s="24">
        <v>3.7360000000000002</v>
      </c>
      <c r="J35" s="7">
        <v>19.260999999999999</v>
      </c>
      <c r="K35" s="10">
        <f t="shared" ref="K35" si="21">(J35*1.1306)+0.4514</f>
        <v>22.227886599999998</v>
      </c>
      <c r="L35" s="11">
        <f t="shared" ref="L35" si="22">(F35+0.6634)/1.0648</f>
        <v>1.1048084147257702</v>
      </c>
      <c r="M35" s="11">
        <f t="shared" ref="M35" si="23">(H35+3.452)/0.6492</f>
        <v>22.016327788046826</v>
      </c>
      <c r="N35" s="11">
        <f t="shared" ref="N35" si="24">(I35+0.4356)/3.002</f>
        <v>1.3896069287141906</v>
      </c>
      <c r="O35" s="11">
        <f t="shared" ref="O35" si="25">(M35/12)/(L35/14)</f>
        <v>23.249022554826279</v>
      </c>
      <c r="P35" s="8">
        <v>12</v>
      </c>
      <c r="Q35" s="23" t="s">
        <v>32</v>
      </c>
      <c r="R35" s="22" t="s">
        <v>94</v>
      </c>
      <c r="S35" s="22" t="s">
        <v>95</v>
      </c>
      <c r="U35" s="73">
        <f t="shared" si="5"/>
        <v>0.15850487968356247</v>
      </c>
    </row>
    <row r="36" spans="1:21" x14ac:dyDescent="0.2">
      <c r="A36" s="60">
        <v>5</v>
      </c>
      <c r="B36" s="61" t="s">
        <v>272</v>
      </c>
      <c r="C36" s="62" t="s">
        <v>273</v>
      </c>
      <c r="D36" s="61">
        <v>2.8400000000000002E-2</v>
      </c>
      <c r="E36" s="84">
        <v>8.8209999999999997</v>
      </c>
      <c r="F36" s="84">
        <v>1.742</v>
      </c>
      <c r="G36" s="84">
        <v>-17.689</v>
      </c>
      <c r="H36" s="84">
        <v>4.5730000000000004</v>
      </c>
      <c r="I36" s="84">
        <v>0.67900000000000005</v>
      </c>
      <c r="J36" s="84">
        <v>14.647</v>
      </c>
      <c r="K36" s="63">
        <f t="shared" ref="K36:K37" si="26">(J36*1.1473)-0.5045</f>
        <v>16.300003100000001</v>
      </c>
      <c r="L36" s="85">
        <f t="shared" ref="L36:L37" si="27">(F36+0.1281)/0.9429</f>
        <v>1.9833492417011347</v>
      </c>
      <c r="M36" s="85">
        <f t="shared" ref="M36:M37" si="28">(H36-0.2341)/0.5383</f>
        <v>8.0603752554337742</v>
      </c>
      <c r="N36" s="85">
        <f t="shared" ref="N36:N37" si="29">(I36+0.6298)/3.2955</f>
        <v>0.39714762554999244</v>
      </c>
      <c r="O36" s="85">
        <f t="shared" ref="O36:O37" si="30">(M36/12)/(L36/14)</f>
        <v>4.7413591785144771</v>
      </c>
      <c r="P36" s="61">
        <v>100</v>
      </c>
      <c r="Q36" s="86" t="s">
        <v>116</v>
      </c>
      <c r="R36" s="66" t="s">
        <v>20</v>
      </c>
      <c r="S36" s="66" t="s">
        <v>29</v>
      </c>
      <c r="U36" s="79">
        <f t="shared" si="5"/>
        <v>0.2838160301209075</v>
      </c>
    </row>
    <row r="37" spans="1:21" x14ac:dyDescent="0.2">
      <c r="A37" s="59">
        <v>5</v>
      </c>
      <c r="B37" s="55" t="s">
        <v>274</v>
      </c>
      <c r="C37" s="54" t="s">
        <v>275</v>
      </c>
      <c r="D37" s="55">
        <v>2.8899999999999999E-2</v>
      </c>
      <c r="E37" s="68">
        <v>9.0609999999999999</v>
      </c>
      <c r="F37" s="68">
        <v>1.5349999999999999</v>
      </c>
      <c r="G37" s="68">
        <v>-23.425000000000001</v>
      </c>
      <c r="H37" s="68">
        <v>5.41</v>
      </c>
      <c r="I37" s="68">
        <v>0.55700000000000005</v>
      </c>
      <c r="J37" s="68">
        <v>14.378</v>
      </c>
      <c r="K37" s="56">
        <f t="shared" si="26"/>
        <v>15.9913794</v>
      </c>
      <c r="L37" s="70">
        <f t="shared" si="27"/>
        <v>1.7638137660409376</v>
      </c>
      <c r="M37" s="70">
        <f t="shared" si="28"/>
        <v>9.6152702953743265</v>
      </c>
      <c r="N37" s="70">
        <f t="shared" si="29"/>
        <v>0.36012744651797907</v>
      </c>
      <c r="O37" s="70">
        <f t="shared" si="30"/>
        <v>6.3599772042730613</v>
      </c>
      <c r="P37" s="55">
        <v>104</v>
      </c>
      <c r="Q37" s="53" t="s">
        <v>116</v>
      </c>
      <c r="R37" s="52" t="s">
        <v>20</v>
      </c>
      <c r="S37" s="52" t="s">
        <v>21</v>
      </c>
      <c r="U37" s="88">
        <f t="shared" si="5"/>
        <v>0.33270831471883483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"/>
  <sheetViews>
    <sheetView workbookViewId="0"/>
  </sheetViews>
  <sheetFormatPr baseColWidth="10" defaultColWidth="8.83203125" defaultRowHeight="15" x14ac:dyDescent="0.2"/>
  <cols>
    <col min="17" max="17" width="20.1640625" bestFit="1" customWidth="1"/>
    <col min="19" max="19" width="10" bestFit="1" customWidth="1"/>
    <col min="21" max="21" width="12" bestFit="1" customWidth="1"/>
  </cols>
  <sheetData>
    <row r="1" spans="1:27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316</v>
      </c>
      <c r="X1" s="71" t="s">
        <v>319</v>
      </c>
      <c r="Y1" s="71" t="s">
        <v>16</v>
      </c>
      <c r="Z1" s="71" t="s">
        <v>316</v>
      </c>
      <c r="AA1" s="71" t="s">
        <v>320</v>
      </c>
    </row>
    <row r="2" spans="1:27" x14ac:dyDescent="0.2">
      <c r="A2" s="22">
        <v>3</v>
      </c>
      <c r="B2" s="23" t="s">
        <v>79</v>
      </c>
      <c r="C2" s="24" t="s">
        <v>135</v>
      </c>
      <c r="D2" s="23">
        <v>4.65E-2</v>
      </c>
      <c r="E2" s="24">
        <v>9.2219999999999995</v>
      </c>
      <c r="F2" s="24">
        <v>5.12</v>
      </c>
      <c r="G2" s="24">
        <v>-16.071000000000002</v>
      </c>
      <c r="H2" s="24">
        <v>11.14</v>
      </c>
      <c r="I2" s="24">
        <v>1.161</v>
      </c>
      <c r="J2" s="24">
        <v>15.423999999999999</v>
      </c>
      <c r="K2" s="10">
        <f t="shared" ref="K2:K9" si="0">(J2*1.2306)+0.4514</f>
        <v>19.432174399999997</v>
      </c>
      <c r="L2" s="11">
        <f t="shared" ref="L2:L9" si="1">(F2+0.1928)/1.0771</f>
        <v>4.9325039457803364</v>
      </c>
      <c r="M2" s="11">
        <f t="shared" ref="M2:M9" si="2">(H2+1.5229)/0.6745</f>
        <v>18.773758339510749</v>
      </c>
      <c r="N2" s="11">
        <f t="shared" ref="N2:N9" si="3">(I2+0.2944)/2.6242</f>
        <v>0.55460711835988108</v>
      </c>
      <c r="O2" s="11">
        <f t="shared" ref="O2:O9" si="4">(M2/12)/(L2/14)</f>
        <v>4.4404866784749153</v>
      </c>
      <c r="P2" s="23">
        <v>22</v>
      </c>
      <c r="Q2" s="25" t="s">
        <v>136</v>
      </c>
      <c r="R2" s="22" t="s">
        <v>94</v>
      </c>
      <c r="S2" s="22" t="s">
        <v>95</v>
      </c>
      <c r="U2" s="74">
        <f>M2/(D2*1000)</f>
        <v>0.40373673848410213</v>
      </c>
      <c r="Y2" t="s">
        <v>37</v>
      </c>
      <c r="Z2" s="42">
        <f>AVERAGE(U8,U15:U17)</f>
        <v>0.47644782109747952</v>
      </c>
      <c r="AA2" s="92">
        <f>AVERAGE(U15:U17)</f>
        <v>0.37890882951715915</v>
      </c>
    </row>
    <row r="3" spans="1:27" x14ac:dyDescent="0.2">
      <c r="A3" s="22">
        <v>3</v>
      </c>
      <c r="B3" s="23" t="s">
        <v>85</v>
      </c>
      <c r="C3" s="24" t="s">
        <v>139</v>
      </c>
      <c r="D3" s="23">
        <v>0.05</v>
      </c>
      <c r="E3" s="24">
        <v>7.8849999999999998</v>
      </c>
      <c r="F3" s="24">
        <v>7.1580000000000004</v>
      </c>
      <c r="G3" s="24">
        <v>-16.366</v>
      </c>
      <c r="H3" s="24">
        <v>18.765999999999998</v>
      </c>
      <c r="I3" s="24">
        <v>2.9319999999999999</v>
      </c>
      <c r="J3" s="24">
        <v>16.89</v>
      </c>
      <c r="K3" s="10">
        <f t="shared" si="0"/>
        <v>21.236234</v>
      </c>
      <c r="L3" s="11">
        <f t="shared" si="1"/>
        <v>6.8246216692971879</v>
      </c>
      <c r="M3" s="11">
        <f t="shared" si="2"/>
        <v>30.07991104521868</v>
      </c>
      <c r="N3" s="11">
        <f t="shared" si="3"/>
        <v>1.2294794604069812</v>
      </c>
      <c r="O3" s="11">
        <f t="shared" si="4"/>
        <v>5.1421501811058032</v>
      </c>
      <c r="P3" s="23">
        <v>19</v>
      </c>
      <c r="Q3" s="25" t="s">
        <v>136</v>
      </c>
      <c r="R3" s="22" t="s">
        <v>94</v>
      </c>
      <c r="S3" s="22" t="s">
        <v>95</v>
      </c>
      <c r="U3" s="74">
        <f t="shared" ref="U3:U18" si="5">M3/(D3*1000)</f>
        <v>0.60159822090437354</v>
      </c>
      <c r="Y3" t="s">
        <v>21</v>
      </c>
      <c r="Z3" s="42">
        <f>AVERAGE(U13:U14,U18)</f>
        <v>0.27886574637639278</v>
      </c>
      <c r="AA3" s="92">
        <f>AVERAGE(U13:U14,U18)</f>
        <v>0.27886574637639278</v>
      </c>
    </row>
    <row r="4" spans="1:27" x14ac:dyDescent="0.2">
      <c r="A4" s="22">
        <v>3</v>
      </c>
      <c r="B4" s="23" t="s">
        <v>87</v>
      </c>
      <c r="C4" s="24" t="s">
        <v>140</v>
      </c>
      <c r="D4" s="23">
        <v>4.7100000000000003E-2</v>
      </c>
      <c r="E4" s="24">
        <v>6.4630000000000001</v>
      </c>
      <c r="F4" s="24">
        <v>3.6469999999999998</v>
      </c>
      <c r="G4" s="24">
        <v>-16.709</v>
      </c>
      <c r="H4" s="24">
        <v>12.682</v>
      </c>
      <c r="I4" s="24">
        <v>1.3160000000000001</v>
      </c>
      <c r="J4" s="24">
        <v>16.334</v>
      </c>
      <c r="K4" s="10">
        <f t="shared" si="0"/>
        <v>20.552020399999996</v>
      </c>
      <c r="L4" s="11">
        <f t="shared" si="1"/>
        <v>3.5649429022374894</v>
      </c>
      <c r="M4" s="11">
        <f t="shared" si="2"/>
        <v>21.059896219421795</v>
      </c>
      <c r="N4" s="11">
        <f t="shared" si="3"/>
        <v>0.61367273835835678</v>
      </c>
      <c r="O4" s="11">
        <f t="shared" si="4"/>
        <v>6.8920820322922429</v>
      </c>
      <c r="P4" s="23">
        <v>16</v>
      </c>
      <c r="Q4" s="25" t="s">
        <v>136</v>
      </c>
      <c r="R4" s="22" t="s">
        <v>94</v>
      </c>
      <c r="S4" s="22" t="s">
        <v>95</v>
      </c>
      <c r="U4" s="74">
        <f t="shared" si="5"/>
        <v>0.44713155455247972</v>
      </c>
      <c r="Y4" t="s">
        <v>29</v>
      </c>
      <c r="Z4" s="42">
        <f>AVERAGE(U10:U12)</f>
        <v>0.60610332730579208</v>
      </c>
      <c r="AA4" s="92">
        <f>AVERAGE(U12,U10)</f>
        <v>0.47663472057607714</v>
      </c>
    </row>
    <row r="5" spans="1:27" x14ac:dyDescent="0.2">
      <c r="A5" s="22">
        <v>3</v>
      </c>
      <c r="B5" s="23" t="s">
        <v>96</v>
      </c>
      <c r="C5" s="24" t="s">
        <v>143</v>
      </c>
      <c r="D5" s="23">
        <v>4.3200000000000002E-2</v>
      </c>
      <c r="E5" s="24">
        <v>8.1180000000000003</v>
      </c>
      <c r="F5" s="24">
        <v>3.823</v>
      </c>
      <c r="G5" s="24">
        <v>-15.78</v>
      </c>
      <c r="H5" s="24">
        <v>9.8849999999999998</v>
      </c>
      <c r="I5" s="24">
        <v>1.3120000000000001</v>
      </c>
      <c r="J5" s="24">
        <v>15.709</v>
      </c>
      <c r="K5" s="10">
        <f t="shared" si="0"/>
        <v>19.782895399999997</v>
      </c>
      <c r="L5" s="11">
        <f t="shared" si="1"/>
        <v>3.7283446290966484</v>
      </c>
      <c r="M5" s="11">
        <f t="shared" si="2"/>
        <v>16.913120830244626</v>
      </c>
      <c r="N5" s="11">
        <f t="shared" si="3"/>
        <v>0.61214846429388003</v>
      </c>
      <c r="O5" s="11">
        <f t="shared" si="4"/>
        <v>5.2924223120256411</v>
      </c>
      <c r="P5" s="23">
        <v>20</v>
      </c>
      <c r="Q5" s="25" t="s">
        <v>136</v>
      </c>
      <c r="R5" s="22" t="s">
        <v>94</v>
      </c>
      <c r="S5" s="22" t="s">
        <v>95</v>
      </c>
      <c r="U5" s="74">
        <f t="shared" si="5"/>
        <v>0.39150742662603299</v>
      </c>
      <c r="Y5" t="s">
        <v>95</v>
      </c>
      <c r="Z5" s="42">
        <f>AVERAGE(U2:U7,U9)</f>
        <v>0.43917227157240607</v>
      </c>
      <c r="AA5" s="93">
        <f>AVERAGE(U2,U4:U7,U9)</f>
        <v>0.41210128001707819</v>
      </c>
    </row>
    <row r="6" spans="1:27" x14ac:dyDescent="0.2">
      <c r="A6" s="22">
        <v>3</v>
      </c>
      <c r="B6" s="23" t="s">
        <v>35</v>
      </c>
      <c r="C6" s="24" t="s">
        <v>147</v>
      </c>
      <c r="D6" s="23">
        <v>4.1599999999999998E-2</v>
      </c>
      <c r="E6" s="24">
        <v>8.3369999999999997</v>
      </c>
      <c r="F6" s="24">
        <v>3.552</v>
      </c>
      <c r="G6" s="24">
        <v>-15.945</v>
      </c>
      <c r="H6" s="24">
        <v>9.4870000000000001</v>
      </c>
      <c r="I6" s="24">
        <v>1.2909999999999999</v>
      </c>
      <c r="J6" s="24">
        <v>15.946</v>
      </c>
      <c r="K6" s="10">
        <f t="shared" si="0"/>
        <v>20.074547599999999</v>
      </c>
      <c r="L6" s="11">
        <f t="shared" si="1"/>
        <v>3.4767431064896486</v>
      </c>
      <c r="M6" s="11">
        <f t="shared" si="2"/>
        <v>16.323054114158637</v>
      </c>
      <c r="N6" s="11">
        <f t="shared" si="3"/>
        <v>0.60414602545537688</v>
      </c>
      <c r="O6" s="11">
        <f t="shared" si="4"/>
        <v>5.4774145083191739</v>
      </c>
      <c r="P6" s="23">
        <v>18</v>
      </c>
      <c r="Q6" s="25" t="s">
        <v>136</v>
      </c>
      <c r="R6" s="22" t="s">
        <v>94</v>
      </c>
      <c r="S6" s="22" t="s">
        <v>95</v>
      </c>
      <c r="U6" s="74">
        <f t="shared" si="5"/>
        <v>0.39238110851342878</v>
      </c>
    </row>
    <row r="7" spans="1:27" x14ac:dyDescent="0.2">
      <c r="A7" s="22">
        <v>3</v>
      </c>
      <c r="B7" s="23" t="s">
        <v>104</v>
      </c>
      <c r="C7" s="24" t="s">
        <v>148</v>
      </c>
      <c r="D7" s="23">
        <v>4.48E-2</v>
      </c>
      <c r="E7" s="24">
        <v>8.3409999999999993</v>
      </c>
      <c r="F7" s="24">
        <v>4.117</v>
      </c>
      <c r="G7" s="24">
        <v>-17.725999999999999</v>
      </c>
      <c r="H7" s="24">
        <v>12.153</v>
      </c>
      <c r="I7" s="24">
        <v>1.139</v>
      </c>
      <c r="J7" s="24">
        <v>14.798</v>
      </c>
      <c r="K7" s="10">
        <f t="shared" si="0"/>
        <v>18.661818799999999</v>
      </c>
      <c r="L7" s="11">
        <f t="shared" si="1"/>
        <v>4.0012997864636528</v>
      </c>
      <c r="M7" s="11">
        <f t="shared" si="2"/>
        <v>20.275611564121572</v>
      </c>
      <c r="N7" s="11">
        <f t="shared" si="3"/>
        <v>0.54622361100525874</v>
      </c>
      <c r="O7" s="11">
        <f t="shared" si="4"/>
        <v>5.9117990204498048</v>
      </c>
      <c r="P7" s="23">
        <v>21</v>
      </c>
      <c r="Q7" s="25" t="s">
        <v>136</v>
      </c>
      <c r="R7" s="22" t="s">
        <v>94</v>
      </c>
      <c r="S7" s="22" t="s">
        <v>95</v>
      </c>
      <c r="U7" s="74">
        <f t="shared" si="5"/>
        <v>0.45258061527057086</v>
      </c>
    </row>
    <row r="8" spans="1:27" x14ac:dyDescent="0.2">
      <c r="A8" s="44">
        <v>3</v>
      </c>
      <c r="B8" s="45" t="s">
        <v>119</v>
      </c>
      <c r="C8" s="46" t="s">
        <v>155</v>
      </c>
      <c r="D8" s="47">
        <v>4.5900000000000003E-2</v>
      </c>
      <c r="E8" s="46">
        <v>7.8150000000000004</v>
      </c>
      <c r="F8" s="46">
        <v>4.7350000000000003</v>
      </c>
      <c r="G8" s="46">
        <v>-17.009</v>
      </c>
      <c r="H8" s="46">
        <v>22.286999999999999</v>
      </c>
      <c r="I8" s="46">
        <v>1.6080000000000001</v>
      </c>
      <c r="J8" s="46">
        <v>15.632</v>
      </c>
      <c r="K8" s="48">
        <f t="shared" si="0"/>
        <v>19.688139199999998</v>
      </c>
      <c r="L8" s="49">
        <f t="shared" si="1"/>
        <v>4.575062668275927</v>
      </c>
      <c r="M8" s="49">
        <f t="shared" si="2"/>
        <v>35.300074128984434</v>
      </c>
      <c r="N8" s="49">
        <f t="shared" si="3"/>
        <v>0.72494474506516271</v>
      </c>
      <c r="O8" s="49">
        <f t="shared" si="4"/>
        <v>9.0017170918159533</v>
      </c>
      <c r="P8" s="45">
        <v>64</v>
      </c>
      <c r="Q8" s="50" t="s">
        <v>136</v>
      </c>
      <c r="R8" s="44" t="s">
        <v>20</v>
      </c>
      <c r="S8" s="44" t="s">
        <v>37</v>
      </c>
      <c r="U8" s="75">
        <f t="shared" si="5"/>
        <v>0.76906479583844078</v>
      </c>
    </row>
    <row r="9" spans="1:27" x14ac:dyDescent="0.2">
      <c r="A9" s="22">
        <v>3</v>
      </c>
      <c r="B9" s="8" t="s">
        <v>43</v>
      </c>
      <c r="C9" s="7" t="s">
        <v>159</v>
      </c>
      <c r="D9" s="8">
        <v>5.9900000000000002E-2</v>
      </c>
      <c r="E9" s="7">
        <v>6.548</v>
      </c>
      <c r="F9" s="7">
        <v>3.589</v>
      </c>
      <c r="G9" s="7">
        <v>-15.994</v>
      </c>
      <c r="H9" s="7">
        <v>14.042999999999999</v>
      </c>
      <c r="I9" s="7">
        <v>0.96899999999999997</v>
      </c>
      <c r="J9" s="7">
        <v>15.291</v>
      </c>
      <c r="K9" s="10">
        <f t="shared" si="0"/>
        <v>19.2685046</v>
      </c>
      <c r="L9" s="11">
        <f t="shared" si="1"/>
        <v>3.5110946058861763</v>
      </c>
      <c r="M9" s="11">
        <f t="shared" si="2"/>
        <v>23.077687175685693</v>
      </c>
      <c r="N9" s="11">
        <f t="shared" si="3"/>
        <v>0.481441963264995</v>
      </c>
      <c r="O9" s="11">
        <f t="shared" si="4"/>
        <v>7.668254887378029</v>
      </c>
      <c r="P9" s="23">
        <v>17</v>
      </c>
      <c r="Q9" s="25" t="s">
        <v>136</v>
      </c>
      <c r="R9" s="22" t="s">
        <v>94</v>
      </c>
      <c r="S9" s="22" t="s">
        <v>95</v>
      </c>
      <c r="U9" s="74">
        <f t="shared" si="5"/>
        <v>0.38527023665585464</v>
      </c>
    </row>
    <row r="10" spans="1:27" x14ac:dyDescent="0.2">
      <c r="A10" s="60">
        <v>4</v>
      </c>
      <c r="B10" s="61" t="s">
        <v>79</v>
      </c>
      <c r="C10" s="62" t="s">
        <v>165</v>
      </c>
      <c r="D10" s="61">
        <v>3.4099999999999998E-2</v>
      </c>
      <c r="E10" s="62">
        <v>9.7159999999999993</v>
      </c>
      <c r="F10" s="62">
        <v>2.4279999999999999</v>
      </c>
      <c r="G10" s="62">
        <v>-16.594999999999999</v>
      </c>
      <c r="H10" s="62">
        <v>8.2829999999999995</v>
      </c>
      <c r="I10" s="62">
        <v>0.68500000000000005</v>
      </c>
      <c r="J10" s="62">
        <v>13.555999999999999</v>
      </c>
      <c r="K10" s="63">
        <f t="shared" ref="K10:K13" si="6">(J10*1.1306)+0.4514</f>
        <v>15.7778136</v>
      </c>
      <c r="L10" s="64">
        <f t="shared" ref="L10:L13" si="7">(F10+0.4001)/1.048</f>
        <v>2.6985687022900762</v>
      </c>
      <c r="M10" s="64">
        <f t="shared" ref="M10:M13" si="8">(H10+1.8141)/0.6406</f>
        <v>15.761941929441148</v>
      </c>
      <c r="N10" s="64">
        <f t="shared" ref="N10:N13" si="9">(I10+0.445)/3.0192</f>
        <v>0.37427133015368313</v>
      </c>
      <c r="O10" s="64">
        <f t="shared" ref="O10:O13" si="10">(M10/12)/(L10/14)</f>
        <v>6.8143279937284325</v>
      </c>
      <c r="P10" s="61">
        <v>65</v>
      </c>
      <c r="Q10" s="65" t="s">
        <v>136</v>
      </c>
      <c r="R10" s="66" t="s">
        <v>20</v>
      </c>
      <c r="S10" s="66" t="s">
        <v>29</v>
      </c>
      <c r="U10" s="76">
        <f t="shared" si="5"/>
        <v>0.46222703605399262</v>
      </c>
    </row>
    <row r="11" spans="1:27" x14ac:dyDescent="0.2">
      <c r="A11" s="60">
        <v>4</v>
      </c>
      <c r="B11" s="61" t="s">
        <v>99</v>
      </c>
      <c r="C11" s="62" t="s">
        <v>175</v>
      </c>
      <c r="D11" s="61">
        <v>3.3799999999999997E-2</v>
      </c>
      <c r="E11" s="62">
        <v>8.8520000000000003</v>
      </c>
      <c r="F11" s="62">
        <v>4.9359999999999999</v>
      </c>
      <c r="G11" s="62">
        <v>-17.975000000000001</v>
      </c>
      <c r="H11" s="62">
        <v>16.916</v>
      </c>
      <c r="I11" s="62">
        <v>1.5609999999999999</v>
      </c>
      <c r="J11" s="62">
        <v>15.512</v>
      </c>
      <c r="K11" s="63">
        <f t="shared" si="6"/>
        <v>17.9892672</v>
      </c>
      <c r="L11" s="64">
        <f t="shared" si="7"/>
        <v>5.0916984732824426</v>
      </c>
      <c r="M11" s="64">
        <f t="shared" si="8"/>
        <v>29.238370277864504</v>
      </c>
      <c r="N11" s="64">
        <f t="shared" si="9"/>
        <v>0.66441441441441429</v>
      </c>
      <c r="O11" s="64">
        <f t="shared" si="10"/>
        <v>6.6994210615247711</v>
      </c>
      <c r="P11" s="61">
        <v>66</v>
      </c>
      <c r="Q11" s="65" t="s">
        <v>136</v>
      </c>
      <c r="R11" s="66" t="s">
        <v>20</v>
      </c>
      <c r="S11" s="66" t="s">
        <v>29</v>
      </c>
      <c r="U11" s="76">
        <f t="shared" si="5"/>
        <v>0.86504054076522208</v>
      </c>
    </row>
    <row r="12" spans="1:27" x14ac:dyDescent="0.2">
      <c r="A12" s="60">
        <v>4</v>
      </c>
      <c r="B12" s="61" t="s">
        <v>114</v>
      </c>
      <c r="C12" s="62" t="s">
        <v>184</v>
      </c>
      <c r="D12" s="61">
        <v>3.4000000000000002E-2</v>
      </c>
      <c r="E12" s="62">
        <v>8.7850000000000001</v>
      </c>
      <c r="F12" s="62">
        <v>2.4009999999999998</v>
      </c>
      <c r="G12" s="62">
        <v>-18.111999999999998</v>
      </c>
      <c r="H12" s="62">
        <v>8.8810000000000002</v>
      </c>
      <c r="I12" s="62">
        <v>0.64300000000000002</v>
      </c>
      <c r="J12" s="62">
        <v>14.442</v>
      </c>
      <c r="K12" s="63">
        <f t="shared" si="6"/>
        <v>16.779525200000002</v>
      </c>
      <c r="L12" s="64">
        <f t="shared" si="7"/>
        <v>2.6728053435114503</v>
      </c>
      <c r="M12" s="64">
        <f t="shared" si="8"/>
        <v>16.695441773337496</v>
      </c>
      <c r="N12" s="64">
        <f t="shared" si="9"/>
        <v>0.3603603603603604</v>
      </c>
      <c r="O12" s="64">
        <f t="shared" si="10"/>
        <v>7.2874799691314056</v>
      </c>
      <c r="P12" s="61">
        <v>67</v>
      </c>
      <c r="Q12" s="65" t="s">
        <v>136</v>
      </c>
      <c r="R12" s="66" t="s">
        <v>20</v>
      </c>
      <c r="S12" s="66" t="s">
        <v>29</v>
      </c>
      <c r="U12" s="76">
        <f t="shared" si="5"/>
        <v>0.49104240509816166</v>
      </c>
    </row>
    <row r="13" spans="1:27" x14ac:dyDescent="0.2">
      <c r="A13" s="59">
        <v>4</v>
      </c>
      <c r="B13" s="55" t="s">
        <v>203</v>
      </c>
      <c r="C13" s="54" t="s">
        <v>204</v>
      </c>
      <c r="D13" s="55">
        <v>2.7900000000000001E-2</v>
      </c>
      <c r="E13" s="67">
        <v>8.3309999999999995</v>
      </c>
      <c r="F13" s="67">
        <v>1.597</v>
      </c>
      <c r="G13" s="54">
        <v>-18.294</v>
      </c>
      <c r="H13" s="54">
        <v>6.7629999999999999</v>
      </c>
      <c r="I13" s="54">
        <v>0.48199999999999998</v>
      </c>
      <c r="J13" s="54">
        <v>13.827999999999999</v>
      </c>
      <c r="K13" s="56">
        <f t="shared" si="6"/>
        <v>16.0853368</v>
      </c>
      <c r="L13" s="57">
        <f t="shared" si="7"/>
        <v>1.9056297709923664</v>
      </c>
      <c r="M13" s="57">
        <f t="shared" si="8"/>
        <v>13.389166406493912</v>
      </c>
      <c r="N13" s="57">
        <f t="shared" si="9"/>
        <v>0.30703497615262321</v>
      </c>
      <c r="O13" s="57">
        <f t="shared" si="10"/>
        <v>8.1971295677097906</v>
      </c>
      <c r="P13" s="55">
        <v>68</v>
      </c>
      <c r="Q13" s="58" t="s">
        <v>136</v>
      </c>
      <c r="R13" s="52" t="s">
        <v>20</v>
      </c>
      <c r="S13" s="52" t="s">
        <v>21</v>
      </c>
      <c r="U13" s="77">
        <f t="shared" si="5"/>
        <v>0.47989843750874234</v>
      </c>
    </row>
    <row r="14" spans="1:27" x14ac:dyDescent="0.2">
      <c r="A14" s="59">
        <v>5</v>
      </c>
      <c r="B14" s="55" t="s">
        <v>194</v>
      </c>
      <c r="C14" s="54" t="s">
        <v>259</v>
      </c>
      <c r="D14" s="55">
        <v>9.4799999999999995E-2</v>
      </c>
      <c r="E14" s="54">
        <v>7.976</v>
      </c>
      <c r="F14" s="54">
        <v>2.6520000000000001</v>
      </c>
      <c r="G14" s="54">
        <v>-18.579000000000001</v>
      </c>
      <c r="H14" s="54">
        <v>10.749000000000001</v>
      </c>
      <c r="I14" s="54">
        <v>1.0389999999999999</v>
      </c>
      <c r="J14" s="54">
        <v>14.319000000000001</v>
      </c>
      <c r="K14" s="56">
        <f t="shared" ref="K14:K18" si="11">(J14*1.1473)-0.5045</f>
        <v>15.9236887</v>
      </c>
      <c r="L14" s="57">
        <f t="shared" ref="L14:L18" si="12">(F14+0.1281)/0.9429</f>
        <v>2.9484568883232583</v>
      </c>
      <c r="M14" s="57">
        <f t="shared" ref="M14:M18" si="13">(H14-0.2341)/0.5383</f>
        <v>19.533531488017836</v>
      </c>
      <c r="N14" s="57">
        <f t="shared" ref="N14:N18" si="14">(I14+0.6298)/3.2955</f>
        <v>0.50638749810347439</v>
      </c>
      <c r="O14" s="57">
        <f t="shared" ref="O14:O18" si="15">(M14/12)/(L14/14)</f>
        <v>7.7291684879659082</v>
      </c>
      <c r="P14" s="55">
        <v>68</v>
      </c>
      <c r="Q14" s="53" t="s">
        <v>136</v>
      </c>
      <c r="R14" s="52" t="s">
        <v>20</v>
      </c>
      <c r="S14" s="52" t="s">
        <v>21</v>
      </c>
      <c r="U14" s="77">
        <f t="shared" si="5"/>
        <v>0.20604991021115862</v>
      </c>
    </row>
    <row r="15" spans="1:27" x14ac:dyDescent="0.2">
      <c r="A15" s="51">
        <v>5</v>
      </c>
      <c r="B15" s="47" t="s">
        <v>46</v>
      </c>
      <c r="C15" s="46" t="s">
        <v>267</v>
      </c>
      <c r="D15" s="47">
        <v>4.8599999999999997E-2</v>
      </c>
      <c r="E15" s="46">
        <v>8.3309999999999995</v>
      </c>
      <c r="F15" s="46">
        <v>3.08</v>
      </c>
      <c r="G15" s="46">
        <v>-14.788</v>
      </c>
      <c r="H15" s="46">
        <v>10.72</v>
      </c>
      <c r="I15" s="46">
        <v>1.123</v>
      </c>
      <c r="J15" s="46">
        <v>15.103</v>
      </c>
      <c r="K15" s="48">
        <f t="shared" si="11"/>
        <v>16.823171899999998</v>
      </c>
      <c r="L15" s="49">
        <f t="shared" si="12"/>
        <v>3.4023756495916855</v>
      </c>
      <c r="M15" s="49">
        <f t="shared" si="13"/>
        <v>19.479658183169239</v>
      </c>
      <c r="N15" s="49">
        <f t="shared" si="14"/>
        <v>0.53187680169928697</v>
      </c>
      <c r="O15" s="49">
        <f t="shared" si="15"/>
        <v>6.6795293115536669</v>
      </c>
      <c r="P15" s="47">
        <v>61</v>
      </c>
      <c r="Q15" s="45" t="s">
        <v>136</v>
      </c>
      <c r="R15" s="44" t="s">
        <v>20</v>
      </c>
      <c r="S15" s="44" t="s">
        <v>37</v>
      </c>
      <c r="U15" s="75">
        <f t="shared" si="5"/>
        <v>0.40081601199936712</v>
      </c>
    </row>
    <row r="16" spans="1:27" x14ac:dyDescent="0.2">
      <c r="A16" s="51">
        <v>5</v>
      </c>
      <c r="B16" s="47" t="s">
        <v>48</v>
      </c>
      <c r="C16" s="46" t="s">
        <v>268</v>
      </c>
      <c r="D16" s="47">
        <v>5.4899999999999997E-2</v>
      </c>
      <c r="E16" s="46">
        <v>7.9790000000000001</v>
      </c>
      <c r="F16" s="46">
        <v>3.2570000000000001</v>
      </c>
      <c r="G16" s="46">
        <v>-18.832999999999998</v>
      </c>
      <c r="H16" s="46">
        <v>11.275</v>
      </c>
      <c r="I16" s="46">
        <v>1.2829999999999999</v>
      </c>
      <c r="J16" s="46">
        <v>15.282</v>
      </c>
      <c r="K16" s="48">
        <f t="shared" si="11"/>
        <v>17.028538600000001</v>
      </c>
      <c r="L16" s="49">
        <f t="shared" si="12"/>
        <v>3.5900943896489554</v>
      </c>
      <c r="M16" s="49">
        <f t="shared" si="13"/>
        <v>20.510681775961363</v>
      </c>
      <c r="N16" s="49">
        <f t="shared" si="14"/>
        <v>0.58042785616750103</v>
      </c>
      <c r="O16" s="49">
        <f t="shared" si="15"/>
        <v>6.6653202232271704</v>
      </c>
      <c r="P16" s="47">
        <v>62</v>
      </c>
      <c r="Q16" s="45" t="s">
        <v>136</v>
      </c>
      <c r="R16" s="44" t="s">
        <v>20</v>
      </c>
      <c r="S16" s="44" t="s">
        <v>37</v>
      </c>
      <c r="U16" s="75">
        <f t="shared" si="5"/>
        <v>0.37360076094647293</v>
      </c>
    </row>
    <row r="17" spans="1:21" x14ac:dyDescent="0.2">
      <c r="A17" s="51">
        <v>5</v>
      </c>
      <c r="B17" s="47" t="s">
        <v>50</v>
      </c>
      <c r="C17" s="46" t="s">
        <v>269</v>
      </c>
      <c r="D17" s="47">
        <v>4.4699999999999997E-2</v>
      </c>
      <c r="E17" s="46">
        <v>8.1959999999999997</v>
      </c>
      <c r="F17" s="46">
        <v>2.4940000000000002</v>
      </c>
      <c r="G17" s="46">
        <v>-18.826000000000001</v>
      </c>
      <c r="H17" s="46">
        <v>8.952</v>
      </c>
      <c r="I17" s="46">
        <v>0.84099999999999997</v>
      </c>
      <c r="J17" s="46">
        <v>14.164999999999999</v>
      </c>
      <c r="K17" s="48">
        <f t="shared" si="11"/>
        <v>15.747004499999999</v>
      </c>
      <c r="L17" s="49">
        <f t="shared" si="12"/>
        <v>2.7808887474811752</v>
      </c>
      <c r="M17" s="49">
        <f t="shared" si="13"/>
        <v>16.195244287571985</v>
      </c>
      <c r="N17" s="49">
        <f t="shared" si="14"/>
        <v>0.44630556819905937</v>
      </c>
      <c r="O17" s="49">
        <f t="shared" si="15"/>
        <v>6.7943932262474966</v>
      </c>
      <c r="P17" s="47">
        <v>63</v>
      </c>
      <c r="Q17" s="45" t="s">
        <v>136</v>
      </c>
      <c r="R17" s="44" t="s">
        <v>20</v>
      </c>
      <c r="S17" s="44" t="s">
        <v>37</v>
      </c>
      <c r="U17" s="75">
        <f t="shared" si="5"/>
        <v>0.36230971560563729</v>
      </c>
    </row>
    <row r="18" spans="1:21" x14ac:dyDescent="0.2">
      <c r="A18" s="59">
        <v>5</v>
      </c>
      <c r="B18" s="55" t="s">
        <v>270</v>
      </c>
      <c r="C18" s="54" t="s">
        <v>271</v>
      </c>
      <c r="D18" s="55">
        <v>4.5600000000000002E-2</v>
      </c>
      <c r="E18" s="67">
        <v>8.0399999999999991</v>
      </c>
      <c r="F18" s="67">
        <v>0.96099999999999997</v>
      </c>
      <c r="G18" s="68">
        <v>-18.905999999999999</v>
      </c>
      <c r="H18" s="68">
        <v>3.9319999999999999</v>
      </c>
      <c r="I18" s="68">
        <v>0.35499999999999998</v>
      </c>
      <c r="J18" s="68">
        <v>11.662000000000001</v>
      </c>
      <c r="K18" s="56">
        <f t="shared" si="11"/>
        <v>12.875312600000001</v>
      </c>
      <c r="L18" s="69">
        <f t="shared" si="12"/>
        <v>1.1550535581715982</v>
      </c>
      <c r="M18" s="70">
        <f t="shared" si="13"/>
        <v>6.8695894482630502</v>
      </c>
      <c r="N18" s="70">
        <f t="shared" si="14"/>
        <v>0.2988317402518586</v>
      </c>
      <c r="O18" s="69">
        <f t="shared" si="15"/>
        <v>6.9386574901861806</v>
      </c>
      <c r="P18" s="55">
        <v>69</v>
      </c>
      <c r="Q18" s="53" t="s">
        <v>136</v>
      </c>
      <c r="R18" s="52" t="s">
        <v>20</v>
      </c>
      <c r="S18" s="52" t="s">
        <v>21</v>
      </c>
      <c r="U18" s="77">
        <f t="shared" si="5"/>
        <v>0.15064889140927742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3"/>
  <sheetViews>
    <sheetView tabSelected="1" topLeftCell="A9" workbookViewId="0">
      <selection activeCell="O48" sqref="O48"/>
    </sheetView>
  </sheetViews>
  <sheetFormatPr baseColWidth="10" defaultColWidth="8.83203125" defaultRowHeight="15" x14ac:dyDescent="0.2"/>
  <cols>
    <col min="17" max="17" width="20.1640625" bestFit="1" customWidth="1"/>
    <col min="21" max="21" width="10.5" bestFit="1" customWidth="1"/>
  </cols>
  <sheetData>
    <row r="1" spans="1:22" x14ac:dyDescent="0.2">
      <c r="A1" s="1" t="s">
        <v>0</v>
      </c>
      <c r="B1" s="2" t="s">
        <v>1</v>
      </c>
      <c r="C1" s="3" t="s">
        <v>2</v>
      </c>
      <c r="D1" s="3" t="s">
        <v>317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5</v>
      </c>
      <c r="J1" s="3" t="s">
        <v>7</v>
      </c>
      <c r="K1" s="4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41" t="s">
        <v>318</v>
      </c>
      <c r="V1" s="40" t="s">
        <v>316</v>
      </c>
    </row>
    <row r="2" spans="1:22" x14ac:dyDescent="0.2">
      <c r="A2" s="94">
        <v>2</v>
      </c>
      <c r="B2" s="95" t="s">
        <v>22</v>
      </c>
      <c r="C2" s="96" t="s">
        <v>76</v>
      </c>
      <c r="D2" s="95">
        <v>7.7299999999999994E-2</v>
      </c>
      <c r="E2" s="96">
        <v>8.093</v>
      </c>
      <c r="F2" s="96">
        <v>6.649</v>
      </c>
      <c r="G2" s="96">
        <v>-19.093</v>
      </c>
      <c r="H2" s="96">
        <v>21.321000000000002</v>
      </c>
      <c r="I2" s="96">
        <v>1.5209999999999999</v>
      </c>
      <c r="J2" s="96">
        <v>7.6870000000000003</v>
      </c>
      <c r="K2" s="97">
        <f t="shared" ref="K2:K12" si="0">(J2*1.2306)+0.4514</f>
        <v>9.9110221999999997</v>
      </c>
      <c r="L2" s="98">
        <f t="shared" ref="L2:L6" si="1">(F2-0.012)/1.0259</f>
        <v>6.4694414660298278</v>
      </c>
      <c r="M2" s="98">
        <f t="shared" ref="M2:M6" si="2">(H2-0.0444)/0.6303</f>
        <v>33.756306520704435</v>
      </c>
      <c r="N2" s="98">
        <f t="shared" ref="N2:N12" si="3">(I2+0.2944)/2.6242</f>
        <v>0.69179178416279241</v>
      </c>
      <c r="O2" s="98">
        <f t="shared" ref="O2:O12" si="4">(M2/12)/(L2/14)</f>
        <v>6.0874432227696937</v>
      </c>
      <c r="P2" s="95">
        <v>140</v>
      </c>
      <c r="Q2" s="94" t="s">
        <v>77</v>
      </c>
      <c r="R2" s="94" t="s">
        <v>20</v>
      </c>
      <c r="S2" s="94" t="s">
        <v>321</v>
      </c>
      <c r="T2" s="100"/>
      <c r="U2" s="101">
        <f>D2*1000</f>
        <v>77.3</v>
      </c>
      <c r="V2" s="102">
        <f>M2/U2</f>
        <v>0.43669219302334328</v>
      </c>
    </row>
    <row r="3" spans="1:22" x14ac:dyDescent="0.2">
      <c r="A3" s="94">
        <v>2</v>
      </c>
      <c r="B3" s="95" t="s">
        <v>85</v>
      </c>
      <c r="C3" s="96" t="s">
        <v>86</v>
      </c>
      <c r="D3" s="95">
        <v>6.9199999999999998E-2</v>
      </c>
      <c r="E3" s="96">
        <v>9.16</v>
      </c>
      <c r="F3" s="96">
        <v>4.2329999999999997</v>
      </c>
      <c r="G3" s="96">
        <v>-17.911000000000001</v>
      </c>
      <c r="H3" s="96">
        <v>14.898</v>
      </c>
      <c r="I3" s="96">
        <v>1.1539999999999999</v>
      </c>
      <c r="J3" s="96">
        <v>7.92</v>
      </c>
      <c r="K3" s="97">
        <f t="shared" si="0"/>
        <v>10.197751999999999</v>
      </c>
      <c r="L3" s="98">
        <f t="shared" si="1"/>
        <v>4.1144361048835165</v>
      </c>
      <c r="M3" s="98">
        <f t="shared" si="2"/>
        <v>23.565920990004759</v>
      </c>
      <c r="N3" s="98">
        <f t="shared" si="3"/>
        <v>0.55193963874704666</v>
      </c>
      <c r="O3" s="98">
        <f t="shared" si="4"/>
        <v>6.6822217644129029</v>
      </c>
      <c r="P3" s="95">
        <v>141</v>
      </c>
      <c r="Q3" s="94" t="s">
        <v>77</v>
      </c>
      <c r="R3" s="94" t="s">
        <v>20</v>
      </c>
      <c r="S3" s="94" t="s">
        <v>321</v>
      </c>
      <c r="T3" s="100"/>
      <c r="U3" s="101">
        <f t="shared" ref="U3:U43" si="5">D3*1000</f>
        <v>69.2</v>
      </c>
      <c r="V3" s="102">
        <f t="shared" ref="V3:V43" si="6">M3/U3</f>
        <v>0.34054799118503987</v>
      </c>
    </row>
    <row r="4" spans="1:22" x14ac:dyDescent="0.2">
      <c r="A4" s="5">
        <v>2</v>
      </c>
      <c r="B4" s="8" t="s">
        <v>96</v>
      </c>
      <c r="C4" s="7" t="s">
        <v>97</v>
      </c>
      <c r="D4" s="8">
        <v>8.8499999999999995E-2</v>
      </c>
      <c r="E4" s="7">
        <v>8.4629999999999992</v>
      </c>
      <c r="F4" s="7">
        <v>4.4820000000000002</v>
      </c>
      <c r="G4" s="7">
        <v>-14.81</v>
      </c>
      <c r="H4" s="7">
        <v>14.555</v>
      </c>
      <c r="I4" s="7">
        <v>1.171</v>
      </c>
      <c r="J4" s="7">
        <v>10.388999999999999</v>
      </c>
      <c r="K4" s="10">
        <f t="shared" si="0"/>
        <v>13.236103399999998</v>
      </c>
      <c r="L4" s="11">
        <f t="shared" si="1"/>
        <v>4.3571498196705338</v>
      </c>
      <c r="M4" s="11">
        <f t="shared" si="2"/>
        <v>23.021735681421546</v>
      </c>
      <c r="N4" s="11">
        <f t="shared" si="3"/>
        <v>0.55841780352107306</v>
      </c>
      <c r="O4" s="11">
        <f t="shared" si="4"/>
        <v>6.1642800316552027</v>
      </c>
      <c r="P4" s="8">
        <v>58</v>
      </c>
      <c r="Q4" s="5" t="s">
        <v>98</v>
      </c>
      <c r="R4" s="5" t="s">
        <v>94</v>
      </c>
      <c r="S4" s="5" t="s">
        <v>95</v>
      </c>
      <c r="U4" s="43">
        <f t="shared" si="5"/>
        <v>88.5</v>
      </c>
      <c r="V4" s="42">
        <f t="shared" si="6"/>
        <v>0.26013260656973497</v>
      </c>
    </row>
    <row r="5" spans="1:22" x14ac:dyDescent="0.2">
      <c r="A5" s="5">
        <v>2</v>
      </c>
      <c r="B5" s="8" t="s">
        <v>99</v>
      </c>
      <c r="C5" s="7" t="s">
        <v>100</v>
      </c>
      <c r="D5" s="8">
        <v>8.5900000000000004E-2</v>
      </c>
      <c r="E5" s="7">
        <v>7.5810000000000004</v>
      </c>
      <c r="F5" s="7">
        <v>3.839</v>
      </c>
      <c r="G5" s="7">
        <v>-20.681999999999999</v>
      </c>
      <c r="H5" s="7">
        <v>8.8109999999999999</v>
      </c>
      <c r="I5" s="7">
        <v>0.755</v>
      </c>
      <c r="J5" s="7">
        <v>11.01</v>
      </c>
      <c r="K5" s="10">
        <f t="shared" si="0"/>
        <v>14.000305999999998</v>
      </c>
      <c r="L5" s="11">
        <f t="shared" si="1"/>
        <v>3.7303830782727361</v>
      </c>
      <c r="M5" s="11">
        <f t="shared" si="2"/>
        <v>13.90861494526416</v>
      </c>
      <c r="N5" s="11">
        <f t="shared" si="3"/>
        <v>0.39989330081548657</v>
      </c>
      <c r="O5" s="11">
        <f t="shared" si="4"/>
        <v>4.3498796492651124</v>
      </c>
      <c r="P5" s="8">
        <v>57</v>
      </c>
      <c r="Q5" s="5" t="s">
        <v>98</v>
      </c>
      <c r="R5" s="5" t="s">
        <v>94</v>
      </c>
      <c r="S5" s="5" t="s">
        <v>95</v>
      </c>
      <c r="U5" s="43">
        <f t="shared" si="5"/>
        <v>85.9</v>
      </c>
      <c r="V5" s="42">
        <f t="shared" si="6"/>
        <v>0.16191635559096809</v>
      </c>
    </row>
    <row r="6" spans="1:22" x14ac:dyDescent="0.2">
      <c r="A6" s="5">
        <v>2</v>
      </c>
      <c r="B6" s="8" t="s">
        <v>128</v>
      </c>
      <c r="C6" s="7" t="s">
        <v>129</v>
      </c>
      <c r="D6" s="8">
        <v>8.2400000000000001E-2</v>
      </c>
      <c r="E6" s="7">
        <v>7.6470000000000002</v>
      </c>
      <c r="F6" s="7">
        <v>9.4169999999999998</v>
      </c>
      <c r="G6" s="7">
        <v>-21.149000000000001</v>
      </c>
      <c r="H6" s="7">
        <v>21.632999999999999</v>
      </c>
      <c r="I6" s="7">
        <v>2.1349999999999998</v>
      </c>
      <c r="J6" s="7">
        <v>11.31</v>
      </c>
      <c r="K6" s="10">
        <f t="shared" si="0"/>
        <v>14.369485999999998</v>
      </c>
      <c r="L6" s="11">
        <f t="shared" si="1"/>
        <v>9.1675601910517592</v>
      </c>
      <c r="M6" s="11">
        <f t="shared" si="2"/>
        <v>34.251308900523561</v>
      </c>
      <c r="N6" s="11">
        <f t="shared" si="3"/>
        <v>0.92576785305998011</v>
      </c>
      <c r="O6" s="11">
        <f t="shared" si="4"/>
        <v>4.3588326175319834</v>
      </c>
      <c r="P6" s="8">
        <v>56</v>
      </c>
      <c r="Q6" s="5" t="s">
        <v>98</v>
      </c>
      <c r="R6" s="5" t="s">
        <v>94</v>
      </c>
      <c r="S6" s="5" t="s">
        <v>95</v>
      </c>
      <c r="U6" s="43">
        <f t="shared" si="5"/>
        <v>82.4</v>
      </c>
      <c r="V6" s="42">
        <f t="shared" si="6"/>
        <v>0.41567122452091698</v>
      </c>
    </row>
    <row r="7" spans="1:22" x14ac:dyDescent="0.2">
      <c r="A7" s="22">
        <v>3</v>
      </c>
      <c r="B7" s="23" t="s">
        <v>22</v>
      </c>
      <c r="C7" s="24" t="s">
        <v>133</v>
      </c>
      <c r="D7" s="23">
        <v>6.1800000000000001E-2</v>
      </c>
      <c r="E7" s="24">
        <v>7.88</v>
      </c>
      <c r="F7" s="24">
        <v>0.93</v>
      </c>
      <c r="G7" s="24">
        <v>-18.3</v>
      </c>
      <c r="H7" s="24">
        <v>3.069</v>
      </c>
      <c r="I7" s="24">
        <v>45.262999999999998</v>
      </c>
      <c r="J7" s="24">
        <v>6.2729999999999997</v>
      </c>
      <c r="K7" s="10">
        <f t="shared" si="0"/>
        <v>8.1709537999999995</v>
      </c>
      <c r="L7" s="11">
        <f t="shared" ref="L7:L12" si="7">(F7+0.1928)/1.0771</f>
        <v>1.0424287438492248</v>
      </c>
      <c r="M7" s="11">
        <f t="shared" ref="M7:M12" si="8">(H7+1.5229)/0.6745</f>
        <v>6.8078576723498889</v>
      </c>
      <c r="N7" s="11">
        <f t="shared" si="3"/>
        <v>17.36049081624876</v>
      </c>
      <c r="O7" s="11">
        <f t="shared" si="4"/>
        <v>7.6192264119784552</v>
      </c>
      <c r="P7" s="23">
        <v>60</v>
      </c>
      <c r="Q7" s="22" t="s">
        <v>98</v>
      </c>
      <c r="R7" s="22" t="s">
        <v>94</v>
      </c>
      <c r="S7" s="22" t="s">
        <v>95</v>
      </c>
      <c r="U7" s="43">
        <f t="shared" si="5"/>
        <v>61.800000000000004</v>
      </c>
      <c r="V7" s="42">
        <f t="shared" si="6"/>
        <v>0.11015950926132506</v>
      </c>
    </row>
    <row r="8" spans="1:22" x14ac:dyDescent="0.2">
      <c r="A8" s="22">
        <v>3</v>
      </c>
      <c r="B8" s="23" t="s">
        <v>25</v>
      </c>
      <c r="C8" s="24" t="s">
        <v>134</v>
      </c>
      <c r="D8" s="23">
        <v>4.7600000000000003E-2</v>
      </c>
      <c r="E8" s="24">
        <v>7.6289999999999996</v>
      </c>
      <c r="F8" s="24">
        <v>7.6580000000000004</v>
      </c>
      <c r="G8" s="24">
        <v>-21.600999999999999</v>
      </c>
      <c r="H8" s="24">
        <v>18.026</v>
      </c>
      <c r="I8" s="24">
        <v>1.772</v>
      </c>
      <c r="J8" s="24">
        <v>10.986000000000001</v>
      </c>
      <c r="K8" s="10">
        <f t="shared" si="0"/>
        <v>13.970771599999999</v>
      </c>
      <c r="L8" s="11">
        <f t="shared" si="7"/>
        <v>7.2888311206016159</v>
      </c>
      <c r="M8" s="11">
        <f t="shared" si="8"/>
        <v>28.982802075611563</v>
      </c>
      <c r="N8" s="11">
        <f t="shared" si="3"/>
        <v>0.7874399817087111</v>
      </c>
      <c r="O8" s="11">
        <f t="shared" si="4"/>
        <v>4.639052343062458</v>
      </c>
      <c r="P8" s="23">
        <v>59</v>
      </c>
      <c r="Q8" s="22" t="s">
        <v>98</v>
      </c>
      <c r="R8" s="22" t="s">
        <v>94</v>
      </c>
      <c r="S8" s="22" t="s">
        <v>95</v>
      </c>
      <c r="U8" s="43">
        <f t="shared" si="5"/>
        <v>47.6</v>
      </c>
      <c r="V8" s="42">
        <f t="shared" si="6"/>
        <v>0.60888239654646137</v>
      </c>
    </row>
    <row r="9" spans="1:22" x14ac:dyDescent="0.2">
      <c r="A9" s="22">
        <v>3</v>
      </c>
      <c r="B9" s="23" t="s">
        <v>117</v>
      </c>
      <c r="C9" s="7" t="s">
        <v>154</v>
      </c>
      <c r="D9" s="8">
        <v>5.0599999999999999E-2</v>
      </c>
      <c r="E9" s="7">
        <v>8.8710000000000004</v>
      </c>
      <c r="F9" s="7">
        <v>6.306</v>
      </c>
      <c r="G9" s="7">
        <v>-20.134</v>
      </c>
      <c r="H9" s="7">
        <v>15.867000000000001</v>
      </c>
      <c r="I9" s="7">
        <v>1.6379999999999999</v>
      </c>
      <c r="J9" s="7">
        <v>12.673999999999999</v>
      </c>
      <c r="K9" s="10">
        <f t="shared" si="0"/>
        <v>16.048024399999999</v>
      </c>
      <c r="L9" s="11">
        <f t="shared" si="7"/>
        <v>6.0336087642744411</v>
      </c>
      <c r="M9" s="11">
        <f t="shared" si="8"/>
        <v>25.781912527798372</v>
      </c>
      <c r="N9" s="11">
        <f t="shared" si="3"/>
        <v>0.73637680054873855</v>
      </c>
      <c r="O9" s="11">
        <f t="shared" si="4"/>
        <v>4.9852251155557274</v>
      </c>
      <c r="P9" s="23">
        <v>41</v>
      </c>
      <c r="Q9" s="22" t="s">
        <v>93</v>
      </c>
      <c r="R9" s="22" t="s">
        <v>94</v>
      </c>
      <c r="S9" s="22" t="s">
        <v>95</v>
      </c>
      <c r="U9" s="43">
        <f t="shared" si="5"/>
        <v>50.6</v>
      </c>
      <c r="V9" s="42">
        <f t="shared" si="6"/>
        <v>0.50952396299996783</v>
      </c>
    </row>
    <row r="10" spans="1:22" x14ac:dyDescent="0.2">
      <c r="A10" s="22">
        <v>3</v>
      </c>
      <c r="B10" s="23" t="s">
        <v>121</v>
      </c>
      <c r="C10" s="7" t="s">
        <v>156</v>
      </c>
      <c r="D10" s="8">
        <v>4.8899999999999999E-2</v>
      </c>
      <c r="E10" s="7">
        <v>8.2799999999999994</v>
      </c>
      <c r="F10" s="7">
        <v>4.37</v>
      </c>
      <c r="G10" s="7">
        <v>-21.785</v>
      </c>
      <c r="H10" s="7">
        <v>13.606</v>
      </c>
      <c r="I10" s="7">
        <v>1.335</v>
      </c>
      <c r="J10" s="7">
        <v>13.823</v>
      </c>
      <c r="K10" s="10">
        <f t="shared" si="0"/>
        <v>17.461983799999999</v>
      </c>
      <c r="L10" s="11">
        <f t="shared" si="7"/>
        <v>4.236189768823694</v>
      </c>
      <c r="M10" s="11">
        <f t="shared" si="8"/>
        <v>22.429799851742033</v>
      </c>
      <c r="N10" s="11">
        <f t="shared" si="3"/>
        <v>0.62091304016462157</v>
      </c>
      <c r="O10" s="11">
        <f t="shared" si="4"/>
        <v>6.1772727982152542</v>
      </c>
      <c r="P10" s="23">
        <v>39</v>
      </c>
      <c r="Q10" s="22" t="s">
        <v>93</v>
      </c>
      <c r="R10" s="22" t="s">
        <v>94</v>
      </c>
      <c r="S10" s="22" t="s">
        <v>95</v>
      </c>
      <c r="U10" s="43">
        <f t="shared" si="5"/>
        <v>48.9</v>
      </c>
      <c r="V10" s="42">
        <f t="shared" si="6"/>
        <v>0.45868711353255692</v>
      </c>
    </row>
    <row r="11" spans="1:22" x14ac:dyDescent="0.2">
      <c r="A11" s="22">
        <v>3</v>
      </c>
      <c r="B11" s="8" t="s">
        <v>39</v>
      </c>
      <c r="C11" s="7" t="s">
        <v>157</v>
      </c>
      <c r="D11" s="8">
        <v>4.2500000000000003E-2</v>
      </c>
      <c r="E11" s="7">
        <v>7.84</v>
      </c>
      <c r="F11" s="7">
        <v>4.266</v>
      </c>
      <c r="G11" s="7">
        <v>-21.547000000000001</v>
      </c>
      <c r="H11" s="7">
        <v>11.404999999999999</v>
      </c>
      <c r="I11" s="7">
        <v>1.1140000000000001</v>
      </c>
      <c r="J11" s="7">
        <v>13.464</v>
      </c>
      <c r="K11" s="10">
        <f t="shared" si="0"/>
        <v>17.020198399999998</v>
      </c>
      <c r="L11" s="11">
        <f t="shared" si="7"/>
        <v>4.1396342029523723</v>
      </c>
      <c r="M11" s="11">
        <f t="shared" si="8"/>
        <v>19.16664195700519</v>
      </c>
      <c r="N11" s="11">
        <f t="shared" si="3"/>
        <v>0.53669689810227883</v>
      </c>
      <c r="O11" s="11">
        <f t="shared" si="4"/>
        <v>5.4017048818528162</v>
      </c>
      <c r="P11" s="23">
        <v>40</v>
      </c>
      <c r="Q11" s="22" t="s">
        <v>93</v>
      </c>
      <c r="R11" s="22" t="s">
        <v>94</v>
      </c>
      <c r="S11" s="22" t="s">
        <v>95</v>
      </c>
      <c r="U11" s="43">
        <f t="shared" si="5"/>
        <v>42.5</v>
      </c>
      <c r="V11" s="42">
        <f t="shared" si="6"/>
        <v>0.45097981075306331</v>
      </c>
    </row>
    <row r="12" spans="1:22" x14ac:dyDescent="0.2">
      <c r="A12" s="22">
        <v>3</v>
      </c>
      <c r="B12" s="8" t="s">
        <v>41</v>
      </c>
      <c r="C12" s="7" t="s">
        <v>158</v>
      </c>
      <c r="D12" s="8">
        <v>5.6899999999999999E-2</v>
      </c>
      <c r="E12" s="7">
        <v>8.2650000000000006</v>
      </c>
      <c r="F12" s="7">
        <v>3.2650000000000001</v>
      </c>
      <c r="G12" s="7">
        <v>-21.553000000000001</v>
      </c>
      <c r="H12" s="7">
        <v>9.4979999999999993</v>
      </c>
      <c r="I12" s="7">
        <v>1.258</v>
      </c>
      <c r="J12" s="7">
        <v>14.352</v>
      </c>
      <c r="K12" s="10">
        <f t="shared" si="0"/>
        <v>18.1129712</v>
      </c>
      <c r="L12" s="11">
        <f t="shared" si="7"/>
        <v>3.2102868814409065</v>
      </c>
      <c r="M12" s="11">
        <f t="shared" si="8"/>
        <v>16.339362490733876</v>
      </c>
      <c r="N12" s="11">
        <f t="shared" si="3"/>
        <v>0.59157076442344336</v>
      </c>
      <c r="O12" s="11">
        <f t="shared" si="4"/>
        <v>5.9379707410967564</v>
      </c>
      <c r="P12" s="23">
        <v>38</v>
      </c>
      <c r="Q12" s="22" t="s">
        <v>93</v>
      </c>
      <c r="R12" s="22" t="s">
        <v>94</v>
      </c>
      <c r="S12" s="22" t="s">
        <v>95</v>
      </c>
      <c r="U12" s="43">
        <f t="shared" si="5"/>
        <v>56.9</v>
      </c>
      <c r="V12" s="42">
        <f t="shared" si="6"/>
        <v>0.28715927048741435</v>
      </c>
    </row>
    <row r="13" spans="1:22" x14ac:dyDescent="0.2">
      <c r="A13" s="22">
        <v>3</v>
      </c>
      <c r="B13" s="8" t="s">
        <v>130</v>
      </c>
      <c r="C13" s="30">
        <v>82</v>
      </c>
      <c r="D13" s="8">
        <v>3.8699999999999998E-2</v>
      </c>
      <c r="E13" s="7">
        <v>7.5810000000000004</v>
      </c>
      <c r="F13" s="7">
        <v>3.3580000000000001</v>
      </c>
      <c r="G13" s="7">
        <v>-21.623999999999999</v>
      </c>
      <c r="H13" s="7">
        <v>10.167</v>
      </c>
      <c r="I13" s="7">
        <v>1.0409999999999999</v>
      </c>
      <c r="J13" s="7">
        <v>12.946999999999999</v>
      </c>
      <c r="K13" s="10">
        <f>(J13*1.1306)+0.4514</f>
        <v>15.089278199999999</v>
      </c>
      <c r="L13" s="11">
        <f>(F13+0.4001)/1.048</f>
        <v>3.5859732824427479</v>
      </c>
      <c r="M13" s="11">
        <f>(H13+1.8141)/0.6406</f>
        <v>18.702934748673119</v>
      </c>
      <c r="N13" s="11">
        <f>(I13+0.445)/3.0192</f>
        <v>0.49218335983041861</v>
      </c>
      <c r="O13" s="11">
        <f>(M13/12)/(L13/14)</f>
        <v>6.0848447050489156</v>
      </c>
      <c r="P13" s="23">
        <v>37</v>
      </c>
      <c r="Q13" s="22" t="s">
        <v>93</v>
      </c>
      <c r="R13" s="22" t="s">
        <v>94</v>
      </c>
      <c r="S13" s="22" t="s">
        <v>95</v>
      </c>
      <c r="U13" s="43">
        <f t="shared" si="5"/>
        <v>38.699999999999996</v>
      </c>
      <c r="V13" s="42">
        <f t="shared" si="6"/>
        <v>0.48327996766597214</v>
      </c>
    </row>
    <row r="14" spans="1:22" x14ac:dyDescent="0.2">
      <c r="A14" s="5">
        <v>4</v>
      </c>
      <c r="B14" s="8" t="s">
        <v>22</v>
      </c>
      <c r="C14" s="7" t="s">
        <v>163</v>
      </c>
      <c r="D14" s="8">
        <v>3.5400000000000001E-2</v>
      </c>
      <c r="E14" s="7">
        <v>8.1739999999999995</v>
      </c>
      <c r="F14" s="7">
        <v>2.9319999999999999</v>
      </c>
      <c r="G14" s="7">
        <v>-20.952000000000002</v>
      </c>
      <c r="H14" s="7">
        <v>8.4380000000000006</v>
      </c>
      <c r="I14" s="7">
        <v>0.83899999999999997</v>
      </c>
      <c r="J14" s="7">
        <v>11.334</v>
      </c>
      <c r="K14" s="10">
        <f t="shared" ref="K14:K27" si="9">(J14*1.1306)+0.4514</f>
        <v>13.2656204</v>
      </c>
      <c r="L14" s="11">
        <f t="shared" ref="L14:L25" si="10">(F14+0.4001)/1.048</f>
        <v>3.1794847328244273</v>
      </c>
      <c r="M14" s="11">
        <f t="shared" ref="M14:M25" si="11">(H14+1.8141)/0.6406</f>
        <v>16.003902591320639</v>
      </c>
      <c r="N14" s="11">
        <f t="shared" ref="N14:N25" si="12">(I14+0.445)/3.0192</f>
        <v>0.42527821939586646</v>
      </c>
      <c r="O14" s="11">
        <f t="shared" ref="O14:O43" si="13">(M14/12)/(L14/14)</f>
        <v>5.8724042600726376</v>
      </c>
      <c r="P14" s="8">
        <v>171</v>
      </c>
      <c r="Q14" s="22" t="s">
        <v>93</v>
      </c>
      <c r="R14" s="22" t="s">
        <v>20</v>
      </c>
      <c r="S14" s="22" t="s">
        <v>95</v>
      </c>
      <c r="U14" s="43">
        <f t="shared" si="5"/>
        <v>35.4</v>
      </c>
      <c r="V14" s="42">
        <f t="shared" si="6"/>
        <v>0.45208764382261696</v>
      </c>
    </row>
    <row r="15" spans="1:22" x14ac:dyDescent="0.2">
      <c r="A15" s="103">
        <v>4</v>
      </c>
      <c r="B15" s="104" t="s">
        <v>83</v>
      </c>
      <c r="C15" s="105" t="s">
        <v>167</v>
      </c>
      <c r="D15" s="104">
        <v>4.2799999999999998E-2</v>
      </c>
      <c r="E15" s="105">
        <v>8.2609999999999992</v>
      </c>
      <c r="F15" s="105">
        <v>2.6739999999999999</v>
      </c>
      <c r="G15" s="105">
        <v>-18.989999999999998</v>
      </c>
      <c r="H15" s="105">
        <v>11.342000000000001</v>
      </c>
      <c r="I15" s="105">
        <v>0.626</v>
      </c>
      <c r="J15" s="105">
        <v>6.1829999999999998</v>
      </c>
      <c r="K15" s="106">
        <f t="shared" si="9"/>
        <v>7.4418997999999998</v>
      </c>
      <c r="L15" s="107">
        <f t="shared" si="10"/>
        <v>2.9333015267175573</v>
      </c>
      <c r="M15" s="107">
        <f t="shared" si="11"/>
        <v>20.537152669372464</v>
      </c>
      <c r="N15" s="107">
        <f t="shared" si="12"/>
        <v>0.35472972972972971</v>
      </c>
      <c r="O15" s="107">
        <f t="shared" si="13"/>
        <v>8.1682742907147023</v>
      </c>
      <c r="P15" s="104">
        <v>148</v>
      </c>
      <c r="Q15" s="108" t="s">
        <v>77</v>
      </c>
      <c r="R15" s="108" t="s">
        <v>20</v>
      </c>
      <c r="S15" s="108" t="s">
        <v>21</v>
      </c>
      <c r="T15" s="109"/>
      <c r="U15" s="110">
        <f t="shared" si="5"/>
        <v>42.8</v>
      </c>
      <c r="V15" s="111">
        <f t="shared" si="6"/>
        <v>0.47984001563954359</v>
      </c>
    </row>
    <row r="16" spans="1:22" x14ac:dyDescent="0.2">
      <c r="A16" s="112">
        <v>4</v>
      </c>
      <c r="B16" s="113" t="s">
        <v>87</v>
      </c>
      <c r="C16" s="114" t="s">
        <v>170</v>
      </c>
      <c r="D16" s="113">
        <v>4.8000000000000001E-2</v>
      </c>
      <c r="E16" s="114">
        <v>12.285</v>
      </c>
      <c r="F16" s="114">
        <v>5.3280000000000003</v>
      </c>
      <c r="G16" s="114">
        <v>-17.335999999999999</v>
      </c>
      <c r="H16" s="114">
        <v>12.7</v>
      </c>
      <c r="I16" s="114">
        <v>1.27</v>
      </c>
      <c r="J16" s="114">
        <v>9.4329999999999998</v>
      </c>
      <c r="K16" s="115">
        <f t="shared" si="9"/>
        <v>11.1163498</v>
      </c>
      <c r="L16" s="116">
        <f t="shared" si="10"/>
        <v>5.4657442748091603</v>
      </c>
      <c r="M16" s="116">
        <f t="shared" si="11"/>
        <v>22.657040274742428</v>
      </c>
      <c r="N16" s="116">
        <f t="shared" si="12"/>
        <v>0.56803126656067837</v>
      </c>
      <c r="O16" s="116">
        <f t="shared" si="13"/>
        <v>4.8361599673978706</v>
      </c>
      <c r="P16" s="113">
        <v>173</v>
      </c>
      <c r="Q16" s="117" t="s">
        <v>171</v>
      </c>
      <c r="R16" s="117" t="s">
        <v>20</v>
      </c>
      <c r="S16" s="117" t="s">
        <v>29</v>
      </c>
      <c r="T16" s="118"/>
      <c r="U16" s="119">
        <f t="shared" si="5"/>
        <v>48</v>
      </c>
      <c r="V16" s="120">
        <f t="shared" si="6"/>
        <v>0.47202167239046727</v>
      </c>
    </row>
    <row r="17" spans="1:22" x14ac:dyDescent="0.2">
      <c r="A17" s="5">
        <v>4</v>
      </c>
      <c r="B17" s="8" t="s">
        <v>89</v>
      </c>
      <c r="C17" s="7" t="s">
        <v>172</v>
      </c>
      <c r="D17" s="8">
        <v>3.27E-2</v>
      </c>
      <c r="E17" s="7">
        <v>12.119</v>
      </c>
      <c r="F17" s="7">
        <v>4.33</v>
      </c>
      <c r="G17" s="7">
        <v>-16.693999999999999</v>
      </c>
      <c r="H17" s="7">
        <v>9.6890000000000001</v>
      </c>
      <c r="I17" s="7">
        <v>0.79400000000000004</v>
      </c>
      <c r="J17" s="7">
        <v>9.1809999999999992</v>
      </c>
      <c r="K17" s="10">
        <f t="shared" si="9"/>
        <v>10.831438599999998</v>
      </c>
      <c r="L17" s="11">
        <f t="shared" si="10"/>
        <v>4.5134541984732826</v>
      </c>
      <c r="M17" s="11">
        <f t="shared" si="11"/>
        <v>17.956759288167344</v>
      </c>
      <c r="N17" s="11">
        <f t="shared" si="12"/>
        <v>0.41037360890302071</v>
      </c>
      <c r="O17" s="11">
        <f t="shared" si="13"/>
        <v>4.6415786184222902</v>
      </c>
      <c r="P17" s="8">
        <v>162</v>
      </c>
      <c r="Q17" s="22" t="s">
        <v>322</v>
      </c>
      <c r="R17" s="22" t="s">
        <v>20</v>
      </c>
      <c r="S17" s="22" t="s">
        <v>95</v>
      </c>
      <c r="U17" s="43">
        <f t="shared" si="5"/>
        <v>32.700000000000003</v>
      </c>
      <c r="V17" s="42">
        <f t="shared" si="6"/>
        <v>0.54913636966872603</v>
      </c>
    </row>
    <row r="18" spans="1:22" x14ac:dyDescent="0.2">
      <c r="A18" s="112">
        <v>4</v>
      </c>
      <c r="B18" s="113" t="s">
        <v>96</v>
      </c>
      <c r="C18" s="114" t="s">
        <v>174</v>
      </c>
      <c r="D18" s="113">
        <v>5.04E-2</v>
      </c>
      <c r="E18" s="114">
        <v>10.194000000000001</v>
      </c>
      <c r="F18" s="114">
        <v>6.5270000000000001</v>
      </c>
      <c r="G18" s="114">
        <v>-17.285</v>
      </c>
      <c r="H18" s="114">
        <v>14.547000000000001</v>
      </c>
      <c r="I18" s="114">
        <v>1.8580000000000001</v>
      </c>
      <c r="J18" s="114">
        <v>12.654</v>
      </c>
      <c r="K18" s="115">
        <f t="shared" si="9"/>
        <v>14.7580124</v>
      </c>
      <c r="L18" s="116">
        <f t="shared" si="10"/>
        <v>6.6098282442748095</v>
      </c>
      <c r="M18" s="116">
        <f t="shared" si="11"/>
        <v>25.540274742428977</v>
      </c>
      <c r="N18" s="116">
        <f t="shared" si="12"/>
        <v>0.76278484366719657</v>
      </c>
      <c r="O18" s="116">
        <f t="shared" si="13"/>
        <v>4.5079820682647131</v>
      </c>
      <c r="P18" s="113">
        <v>155</v>
      </c>
      <c r="Q18" s="117" t="s">
        <v>322</v>
      </c>
      <c r="R18" s="117" t="s">
        <v>20</v>
      </c>
      <c r="S18" s="117" t="s">
        <v>29</v>
      </c>
      <c r="T18" s="118"/>
      <c r="U18" s="119">
        <f t="shared" si="5"/>
        <v>50.4</v>
      </c>
      <c r="V18" s="120">
        <f t="shared" si="6"/>
        <v>0.50675148298470196</v>
      </c>
    </row>
    <row r="19" spans="1:22" x14ac:dyDescent="0.2">
      <c r="A19" s="103">
        <v>4</v>
      </c>
      <c r="B19" s="104" t="s">
        <v>35</v>
      </c>
      <c r="C19" s="105" t="s">
        <v>178</v>
      </c>
      <c r="D19" s="104">
        <v>3.7600000000000001E-2</v>
      </c>
      <c r="E19" s="105">
        <v>9.7690000000000001</v>
      </c>
      <c r="F19" s="105">
        <v>3.9820000000000002</v>
      </c>
      <c r="G19" s="105">
        <v>-16.856999999999999</v>
      </c>
      <c r="H19" s="105">
        <v>9.3529999999999998</v>
      </c>
      <c r="I19" s="105">
        <v>1.0109999999999999</v>
      </c>
      <c r="J19" s="105">
        <v>10.593999999999999</v>
      </c>
      <c r="K19" s="106">
        <f t="shared" si="9"/>
        <v>12.4289764</v>
      </c>
      <c r="L19" s="107">
        <f t="shared" si="10"/>
        <v>4.1813931297709921</v>
      </c>
      <c r="M19" s="107">
        <f t="shared" si="11"/>
        <v>17.432251014673746</v>
      </c>
      <c r="N19" s="107">
        <f t="shared" si="12"/>
        <v>0.48224695283518809</v>
      </c>
      <c r="O19" s="107">
        <f t="shared" si="13"/>
        <v>4.8638397664607771</v>
      </c>
      <c r="P19" s="104">
        <v>161</v>
      </c>
      <c r="Q19" s="108" t="s">
        <v>322</v>
      </c>
      <c r="R19" s="108" t="s">
        <v>20</v>
      </c>
      <c r="S19" s="108" t="s">
        <v>21</v>
      </c>
      <c r="T19" s="109"/>
      <c r="U19" s="110">
        <f t="shared" si="5"/>
        <v>37.6</v>
      </c>
      <c r="V19" s="111">
        <f t="shared" si="6"/>
        <v>0.46362369719876984</v>
      </c>
    </row>
    <row r="20" spans="1:22" x14ac:dyDescent="0.2">
      <c r="A20" s="112">
        <v>4</v>
      </c>
      <c r="B20" s="113" t="s">
        <v>108</v>
      </c>
      <c r="C20" s="114" t="s">
        <v>181</v>
      </c>
      <c r="D20" s="113">
        <v>3.2599999999999997E-2</v>
      </c>
      <c r="E20" s="114">
        <v>8.3079999999999998</v>
      </c>
      <c r="F20" s="114">
        <v>1.821</v>
      </c>
      <c r="G20" s="114">
        <v>-18.57</v>
      </c>
      <c r="H20" s="114">
        <v>7.9740000000000002</v>
      </c>
      <c r="I20" s="114">
        <v>0.40300000000000002</v>
      </c>
      <c r="J20" s="114">
        <v>8.5679999999999996</v>
      </c>
      <c r="K20" s="115">
        <f t="shared" si="9"/>
        <v>10.1383808</v>
      </c>
      <c r="L20" s="116">
        <f t="shared" si="10"/>
        <v>2.1193702290076333</v>
      </c>
      <c r="M20" s="116">
        <f t="shared" si="11"/>
        <v>15.279581642210429</v>
      </c>
      <c r="N20" s="116">
        <f t="shared" si="12"/>
        <v>0.2808691043985162</v>
      </c>
      <c r="O20" s="116">
        <f t="shared" si="13"/>
        <v>8.4110734116170462</v>
      </c>
      <c r="P20" s="113">
        <v>144</v>
      </c>
      <c r="Q20" s="117" t="s">
        <v>77</v>
      </c>
      <c r="R20" s="117" t="s">
        <v>20</v>
      </c>
      <c r="S20" s="117" t="s">
        <v>29</v>
      </c>
      <c r="T20" s="118"/>
      <c r="U20" s="119">
        <f t="shared" si="5"/>
        <v>32.599999999999994</v>
      </c>
      <c r="V20" s="120">
        <f t="shared" si="6"/>
        <v>0.46869882338068808</v>
      </c>
    </row>
    <row r="21" spans="1:22" x14ac:dyDescent="0.2">
      <c r="A21" s="94">
        <v>4</v>
      </c>
      <c r="B21" s="95" t="s">
        <v>119</v>
      </c>
      <c r="C21" s="96" t="s">
        <v>186</v>
      </c>
      <c r="D21" s="95">
        <v>3.4599999999999999E-2</v>
      </c>
      <c r="E21" s="96">
        <v>8.6850000000000005</v>
      </c>
      <c r="F21" s="96">
        <v>2.2450000000000001</v>
      </c>
      <c r="G21" s="96">
        <v>-18.954999999999998</v>
      </c>
      <c r="H21" s="96">
        <v>9.5109999999999992</v>
      </c>
      <c r="I21" s="96">
        <v>0.55900000000000005</v>
      </c>
      <c r="J21" s="96">
        <v>7.6470000000000002</v>
      </c>
      <c r="K21" s="97">
        <f t="shared" si="9"/>
        <v>9.0970981999999996</v>
      </c>
      <c r="L21" s="98">
        <f t="shared" si="10"/>
        <v>2.5239503816793896</v>
      </c>
      <c r="M21" s="98">
        <f t="shared" si="11"/>
        <v>17.678894786137995</v>
      </c>
      <c r="N21" s="98">
        <f t="shared" si="12"/>
        <v>0.33253842077371487</v>
      </c>
      <c r="O21" s="98">
        <f t="shared" si="13"/>
        <v>8.1718632030993366</v>
      </c>
      <c r="P21" s="95">
        <v>142</v>
      </c>
      <c r="Q21" s="99" t="s">
        <v>77</v>
      </c>
      <c r="R21" s="99" t="s">
        <v>20</v>
      </c>
      <c r="S21" s="94" t="s">
        <v>321</v>
      </c>
      <c r="T21" s="100"/>
      <c r="U21" s="101">
        <f t="shared" si="5"/>
        <v>34.6</v>
      </c>
      <c r="V21" s="102">
        <f t="shared" si="6"/>
        <v>0.51095071636236977</v>
      </c>
    </row>
    <row r="22" spans="1:22" x14ac:dyDescent="0.2">
      <c r="A22" s="112">
        <v>4</v>
      </c>
      <c r="B22" s="113" t="s">
        <v>126</v>
      </c>
      <c r="C22" s="114" t="s">
        <v>191</v>
      </c>
      <c r="D22" s="113">
        <v>3.7199999999999997E-2</v>
      </c>
      <c r="E22" s="114">
        <v>10.335000000000001</v>
      </c>
      <c r="F22" s="114">
        <v>2.4710000000000001</v>
      </c>
      <c r="G22" s="114">
        <v>-17.622</v>
      </c>
      <c r="H22" s="114">
        <v>5.75</v>
      </c>
      <c r="I22" s="114">
        <v>0.63200000000000001</v>
      </c>
      <c r="J22" s="114">
        <v>10.486000000000001</v>
      </c>
      <c r="K22" s="115">
        <f t="shared" si="9"/>
        <v>12.306871600000001</v>
      </c>
      <c r="L22" s="116">
        <f t="shared" si="10"/>
        <v>2.7395992366412214</v>
      </c>
      <c r="M22" s="116">
        <f t="shared" si="11"/>
        <v>11.807836403371839</v>
      </c>
      <c r="N22" s="116">
        <f t="shared" si="12"/>
        <v>0.3567170111287758</v>
      </c>
      <c r="O22" s="116">
        <f t="shared" si="13"/>
        <v>5.0284030426860671</v>
      </c>
      <c r="P22" s="113">
        <v>154</v>
      </c>
      <c r="Q22" s="117" t="s">
        <v>322</v>
      </c>
      <c r="R22" s="117" t="s">
        <v>20</v>
      </c>
      <c r="S22" s="117" t="s">
        <v>29</v>
      </c>
      <c r="T22" s="118"/>
      <c r="U22" s="119">
        <f t="shared" si="5"/>
        <v>37.199999999999996</v>
      </c>
      <c r="V22" s="120">
        <f t="shared" si="6"/>
        <v>0.3174149570798882</v>
      </c>
    </row>
    <row r="23" spans="1:22" x14ac:dyDescent="0.2">
      <c r="A23" s="112">
        <v>4</v>
      </c>
      <c r="B23" s="113" t="s">
        <v>128</v>
      </c>
      <c r="C23" s="114" t="s">
        <v>192</v>
      </c>
      <c r="D23" s="113">
        <v>5.11E-2</v>
      </c>
      <c r="E23" s="114">
        <v>8.9879999999999995</v>
      </c>
      <c r="F23" s="114">
        <v>2.2669999999999999</v>
      </c>
      <c r="G23" s="114">
        <v>-18.038</v>
      </c>
      <c r="H23" s="114">
        <v>7.3280000000000003</v>
      </c>
      <c r="I23" s="114">
        <v>0.504</v>
      </c>
      <c r="J23" s="114">
        <v>6.875</v>
      </c>
      <c r="K23" s="115">
        <f t="shared" si="9"/>
        <v>8.2242750000000004</v>
      </c>
      <c r="L23" s="116">
        <f t="shared" si="10"/>
        <v>2.5449427480916031</v>
      </c>
      <c r="M23" s="116">
        <f t="shared" si="11"/>
        <v>14.271152044957855</v>
      </c>
      <c r="N23" s="116">
        <f t="shared" si="12"/>
        <v>0.31432167461579225</v>
      </c>
      <c r="O23" s="116">
        <f t="shared" si="13"/>
        <v>6.5422600953476824</v>
      </c>
      <c r="P23" s="113">
        <v>143</v>
      </c>
      <c r="Q23" s="117" t="s">
        <v>77</v>
      </c>
      <c r="R23" s="117" t="s">
        <v>20</v>
      </c>
      <c r="S23" s="117" t="s">
        <v>29</v>
      </c>
      <c r="T23" s="118"/>
      <c r="U23" s="119">
        <f t="shared" si="5"/>
        <v>51.1</v>
      </c>
      <c r="V23" s="120">
        <f t="shared" si="6"/>
        <v>0.27927890498939051</v>
      </c>
    </row>
    <row r="24" spans="1:22" x14ac:dyDescent="0.2">
      <c r="A24" s="103">
        <v>4</v>
      </c>
      <c r="B24" s="104" t="s">
        <v>130</v>
      </c>
      <c r="C24" s="105" t="s">
        <v>193</v>
      </c>
      <c r="D24" s="104">
        <v>4.24E-2</v>
      </c>
      <c r="E24" s="105">
        <v>7.5579999999999998</v>
      </c>
      <c r="F24" s="105">
        <v>2.3740000000000001</v>
      </c>
      <c r="G24" s="105">
        <v>-19.751999999999999</v>
      </c>
      <c r="H24" s="105">
        <v>10.872</v>
      </c>
      <c r="I24" s="105">
        <v>0.65400000000000003</v>
      </c>
      <c r="J24" s="105">
        <v>7.1740000000000004</v>
      </c>
      <c r="K24" s="106">
        <f t="shared" si="9"/>
        <v>8.5623243999999996</v>
      </c>
      <c r="L24" s="107">
        <f t="shared" si="10"/>
        <v>2.6470419847328244</v>
      </c>
      <c r="M24" s="107">
        <f t="shared" si="11"/>
        <v>19.803465501092727</v>
      </c>
      <c r="N24" s="107">
        <f t="shared" si="12"/>
        <v>0.36400370959194489</v>
      </c>
      <c r="O24" s="107">
        <f t="shared" si="13"/>
        <v>8.7282495774014546</v>
      </c>
      <c r="P24" s="104">
        <v>147</v>
      </c>
      <c r="Q24" s="108" t="s">
        <v>77</v>
      </c>
      <c r="R24" s="108" t="s">
        <v>20</v>
      </c>
      <c r="S24" s="108" t="s">
        <v>21</v>
      </c>
      <c r="T24" s="109"/>
      <c r="U24" s="110">
        <f t="shared" si="5"/>
        <v>42.4</v>
      </c>
      <c r="V24" s="111">
        <f t="shared" si="6"/>
        <v>0.46706286559180965</v>
      </c>
    </row>
    <row r="25" spans="1:22" x14ac:dyDescent="0.2">
      <c r="A25" s="103">
        <v>4</v>
      </c>
      <c r="B25" s="104" t="s">
        <v>194</v>
      </c>
      <c r="C25" s="105" t="s">
        <v>195</v>
      </c>
      <c r="D25" s="104">
        <v>4.2099999999999999E-2</v>
      </c>
      <c r="E25" s="105">
        <v>10.496</v>
      </c>
      <c r="F25" s="105">
        <v>3.3490000000000002</v>
      </c>
      <c r="G25" s="105">
        <v>-18.420999999999999</v>
      </c>
      <c r="H25" s="105">
        <v>7.9939999999999998</v>
      </c>
      <c r="I25" s="105">
        <v>0.96899999999999997</v>
      </c>
      <c r="J25" s="105">
        <v>13.441000000000001</v>
      </c>
      <c r="K25" s="106">
        <f t="shared" si="9"/>
        <v>15.647794600000001</v>
      </c>
      <c r="L25" s="107">
        <f t="shared" si="10"/>
        <v>3.5773854961832061</v>
      </c>
      <c r="M25" s="107">
        <f t="shared" si="11"/>
        <v>15.310802372775523</v>
      </c>
      <c r="N25" s="107">
        <f t="shared" si="12"/>
        <v>0.46833598304186536</v>
      </c>
      <c r="O25" s="107">
        <f t="shared" si="13"/>
        <v>4.9932004217314931</v>
      </c>
      <c r="P25" s="104">
        <v>158</v>
      </c>
      <c r="Q25" s="108" t="s">
        <v>322</v>
      </c>
      <c r="R25" s="108" t="s">
        <v>20</v>
      </c>
      <c r="S25" s="108" t="s">
        <v>21</v>
      </c>
      <c r="T25" s="109"/>
      <c r="U25" s="110">
        <f t="shared" si="5"/>
        <v>42.1</v>
      </c>
      <c r="V25" s="111">
        <f t="shared" si="6"/>
        <v>0.36367701598041624</v>
      </c>
    </row>
    <row r="26" spans="1:22" x14ac:dyDescent="0.2">
      <c r="A26" s="94">
        <v>4</v>
      </c>
      <c r="B26" s="95" t="s">
        <v>55</v>
      </c>
      <c r="C26" s="96" t="s">
        <v>207</v>
      </c>
      <c r="D26" s="95">
        <v>2.41E-2</v>
      </c>
      <c r="E26" s="96">
        <v>8.9</v>
      </c>
      <c r="F26" s="96">
        <v>2.1419999999999999</v>
      </c>
      <c r="G26" s="96">
        <v>-21.103999999999999</v>
      </c>
      <c r="H26" s="96">
        <v>6.258</v>
      </c>
      <c r="I26" s="96">
        <v>0.89200000000000002</v>
      </c>
      <c r="J26" s="96">
        <v>14.090999999999999</v>
      </c>
      <c r="K26" s="97">
        <f t="shared" si="9"/>
        <v>16.382684600000001</v>
      </c>
      <c r="L26" s="98">
        <f t="shared" ref="L26:L27" si="14">(F26+0.6634)/1.0648</f>
        <v>2.6346731780616075</v>
      </c>
      <c r="M26" s="98">
        <f t="shared" ref="M26:M27" si="15">(H26+3.452)/0.6492</f>
        <v>14.956869993838572</v>
      </c>
      <c r="N26" s="98">
        <f t="shared" ref="N26:N27" si="16">(I26+0.4356)/3.002</f>
        <v>0.44223850766155898</v>
      </c>
      <c r="O26" s="98">
        <f t="shared" si="13"/>
        <v>6.6230915488032123</v>
      </c>
      <c r="P26" s="95">
        <v>151</v>
      </c>
      <c r="Q26" s="99" t="s">
        <v>322</v>
      </c>
      <c r="R26" s="99" t="s">
        <v>20</v>
      </c>
      <c r="S26" s="94" t="s">
        <v>321</v>
      </c>
      <c r="T26" s="100"/>
      <c r="U26" s="101">
        <f t="shared" si="5"/>
        <v>24.1</v>
      </c>
      <c r="V26" s="102">
        <f t="shared" si="6"/>
        <v>0.62061701219247178</v>
      </c>
    </row>
    <row r="27" spans="1:22" x14ac:dyDescent="0.2">
      <c r="A27" s="5">
        <v>4</v>
      </c>
      <c r="B27" s="8" t="s">
        <v>217</v>
      </c>
      <c r="C27" s="7" t="s">
        <v>218</v>
      </c>
      <c r="D27" s="8">
        <v>0.16450000000000001</v>
      </c>
      <c r="E27" s="7">
        <v>6.9550000000000001</v>
      </c>
      <c r="F27" s="7">
        <v>6.5819999999999999</v>
      </c>
      <c r="G27" s="7">
        <v>-16.602</v>
      </c>
      <c r="H27" s="7">
        <v>22.808</v>
      </c>
      <c r="I27" s="7">
        <v>1.629</v>
      </c>
      <c r="J27" s="7">
        <v>13.141999999999999</v>
      </c>
      <c r="K27" s="10">
        <f t="shared" si="9"/>
        <v>15.3097452</v>
      </c>
      <c r="L27" s="11">
        <f t="shared" si="14"/>
        <v>6.8044703230653649</v>
      </c>
      <c r="M27" s="11">
        <f t="shared" si="15"/>
        <v>40.449784349969192</v>
      </c>
      <c r="N27" s="11">
        <f t="shared" si="16"/>
        <v>0.68774150566289149</v>
      </c>
      <c r="O27" s="11">
        <f t="shared" si="13"/>
        <v>6.9353546763217668</v>
      </c>
      <c r="P27" s="8">
        <v>60</v>
      </c>
      <c r="Q27" s="22" t="s">
        <v>98</v>
      </c>
      <c r="R27" s="22" t="s">
        <v>94</v>
      </c>
      <c r="S27" s="22" t="s">
        <v>95</v>
      </c>
      <c r="U27" s="43">
        <f t="shared" si="5"/>
        <v>164.5</v>
      </c>
      <c r="V27" s="42">
        <f t="shared" si="6"/>
        <v>0.24589534559251788</v>
      </c>
    </row>
    <row r="28" spans="1:22" x14ac:dyDescent="0.2">
      <c r="A28" s="112">
        <v>5</v>
      </c>
      <c r="B28" s="113" t="s">
        <v>114</v>
      </c>
      <c r="C28" s="114" t="s">
        <v>249</v>
      </c>
      <c r="D28" s="113">
        <v>7.0099999999999996E-2</v>
      </c>
      <c r="E28" s="114">
        <v>8.9909999999999997</v>
      </c>
      <c r="F28" s="114">
        <v>3.5739999999999998</v>
      </c>
      <c r="G28" s="114">
        <v>-18.274000000000001</v>
      </c>
      <c r="H28" s="114">
        <v>10.151999999999999</v>
      </c>
      <c r="I28" s="114">
        <v>1.018</v>
      </c>
      <c r="J28" s="114">
        <v>14.38</v>
      </c>
      <c r="K28" s="115">
        <f t="shared" ref="K28:K43" si="17">(J28*1.1473)-0.5045</f>
        <v>15.993674000000002</v>
      </c>
      <c r="L28" s="116">
        <f t="shared" ref="L28:L43" si="18">(F28+0.1281)/0.9429</f>
        <v>3.9262912291865519</v>
      </c>
      <c r="M28" s="116">
        <f t="shared" ref="M28:M43" si="19">(H28-0.2341)/0.5383</f>
        <v>18.424484488203603</v>
      </c>
      <c r="N28" s="116">
        <f t="shared" ref="N28:N43" si="20">(I28+0.6298)/3.2955</f>
        <v>0.5000151722045213</v>
      </c>
      <c r="O28" s="116">
        <f t="shared" si="13"/>
        <v>5.474691164811424</v>
      </c>
      <c r="P28" s="113">
        <v>169</v>
      </c>
      <c r="Q28" s="117" t="s">
        <v>169</v>
      </c>
      <c r="R28" s="117" t="s">
        <v>20</v>
      </c>
      <c r="S28" s="117" t="s">
        <v>29</v>
      </c>
      <c r="T28" s="118"/>
      <c r="U28" s="119">
        <f t="shared" si="5"/>
        <v>70.099999999999994</v>
      </c>
      <c r="V28" s="120">
        <f t="shared" si="6"/>
        <v>0.26283144776324685</v>
      </c>
    </row>
    <row r="29" spans="1:22" x14ac:dyDescent="0.2">
      <c r="A29" s="94">
        <v>5</v>
      </c>
      <c r="B29" s="95" t="s">
        <v>117</v>
      </c>
      <c r="C29" s="96" t="s">
        <v>250</v>
      </c>
      <c r="D29" s="95">
        <v>0.1053</v>
      </c>
      <c r="E29" s="96">
        <v>8.9619999999999997</v>
      </c>
      <c r="F29" s="96">
        <v>6.234</v>
      </c>
      <c r="G29" s="96">
        <v>-20.952000000000002</v>
      </c>
      <c r="H29" s="96">
        <v>15.62</v>
      </c>
      <c r="I29" s="96">
        <v>1.796</v>
      </c>
      <c r="J29" s="96">
        <v>15.151999999999999</v>
      </c>
      <c r="K29" s="97">
        <f t="shared" si="17"/>
        <v>16.8793896</v>
      </c>
      <c r="L29" s="98">
        <f t="shared" si="18"/>
        <v>6.7473751193127587</v>
      </c>
      <c r="M29" s="98">
        <f t="shared" si="19"/>
        <v>28.58238900241501</v>
      </c>
      <c r="N29" s="98">
        <f t="shared" si="20"/>
        <v>0.73609467455621302</v>
      </c>
      <c r="O29" s="98">
        <f t="shared" si="13"/>
        <v>4.9420878361086169</v>
      </c>
      <c r="P29" s="95">
        <v>166</v>
      </c>
      <c r="Q29" s="99" t="s">
        <v>169</v>
      </c>
      <c r="R29" s="99" t="s">
        <v>20</v>
      </c>
      <c r="S29" s="94" t="s">
        <v>321</v>
      </c>
      <c r="T29" s="100"/>
      <c r="U29" s="101">
        <f t="shared" si="5"/>
        <v>105.30000000000001</v>
      </c>
      <c r="V29" s="102">
        <f t="shared" si="6"/>
        <v>0.27143769233062687</v>
      </c>
    </row>
    <row r="30" spans="1:22" x14ac:dyDescent="0.2">
      <c r="A30" s="112">
        <v>5</v>
      </c>
      <c r="B30" s="113" t="s">
        <v>119</v>
      </c>
      <c r="C30" s="114" t="s">
        <v>251</v>
      </c>
      <c r="D30" s="113">
        <v>8.7900000000000006E-2</v>
      </c>
      <c r="E30" s="114">
        <v>9.1110000000000007</v>
      </c>
      <c r="F30" s="114">
        <v>3.2149999999999999</v>
      </c>
      <c r="G30" s="114">
        <v>-16.696999999999999</v>
      </c>
      <c r="H30" s="114">
        <v>10.115</v>
      </c>
      <c r="I30" s="114">
        <v>1.117</v>
      </c>
      <c r="J30" s="114">
        <v>14.372</v>
      </c>
      <c r="K30" s="115">
        <f t="shared" si="17"/>
        <v>15.984495599999999</v>
      </c>
      <c r="L30" s="116">
        <f t="shared" si="18"/>
        <v>3.5455509598048573</v>
      </c>
      <c r="M30" s="116">
        <f t="shared" si="19"/>
        <v>18.355749582017463</v>
      </c>
      <c r="N30" s="116">
        <f t="shared" si="20"/>
        <v>0.53005613715672883</v>
      </c>
      <c r="O30" s="116">
        <f t="shared" si="13"/>
        <v>6.039975569889716</v>
      </c>
      <c r="P30" s="113">
        <v>168</v>
      </c>
      <c r="Q30" s="117" t="s">
        <v>169</v>
      </c>
      <c r="R30" s="117" t="s">
        <v>20</v>
      </c>
      <c r="S30" s="117" t="s">
        <v>29</v>
      </c>
      <c r="T30" s="118"/>
      <c r="U30" s="119">
        <f t="shared" si="5"/>
        <v>87.9</v>
      </c>
      <c r="V30" s="120">
        <f t="shared" si="6"/>
        <v>0.20882536498313381</v>
      </c>
    </row>
    <row r="31" spans="1:22" x14ac:dyDescent="0.2">
      <c r="A31" s="112">
        <v>5</v>
      </c>
      <c r="B31" s="113" t="s">
        <v>121</v>
      </c>
      <c r="C31" s="114" t="s">
        <v>252</v>
      </c>
      <c r="D31" s="113">
        <v>0.111</v>
      </c>
      <c r="E31" s="114">
        <v>8.6140000000000008</v>
      </c>
      <c r="F31" s="114">
        <v>3.98</v>
      </c>
      <c r="G31" s="114">
        <v>-16.439</v>
      </c>
      <c r="H31" s="114">
        <v>10.315</v>
      </c>
      <c r="I31" s="114">
        <v>1.2350000000000001</v>
      </c>
      <c r="J31" s="114">
        <v>12.026</v>
      </c>
      <c r="K31" s="115">
        <f t="shared" si="17"/>
        <v>13.2929298</v>
      </c>
      <c r="L31" s="116">
        <f t="shared" si="18"/>
        <v>4.3568777176794997</v>
      </c>
      <c r="M31" s="116">
        <f t="shared" si="19"/>
        <v>18.727289615456066</v>
      </c>
      <c r="N31" s="116">
        <f t="shared" si="20"/>
        <v>0.56586253982703694</v>
      </c>
      <c r="O31" s="116">
        <f t="shared" si="13"/>
        <v>5.0147160345372424</v>
      </c>
      <c r="P31" s="113">
        <v>157</v>
      </c>
      <c r="Q31" s="117" t="s">
        <v>322</v>
      </c>
      <c r="R31" s="117" t="s">
        <v>20</v>
      </c>
      <c r="S31" s="117" t="s">
        <v>29</v>
      </c>
      <c r="T31" s="118"/>
      <c r="U31" s="119">
        <f t="shared" si="5"/>
        <v>111</v>
      </c>
      <c r="V31" s="120">
        <f t="shared" si="6"/>
        <v>0.16871432085996454</v>
      </c>
    </row>
    <row r="32" spans="1:22" x14ac:dyDescent="0.2">
      <c r="A32" s="94">
        <v>5</v>
      </c>
      <c r="B32" s="95" t="s">
        <v>39</v>
      </c>
      <c r="C32" s="96" t="s">
        <v>253</v>
      </c>
      <c r="D32" s="95">
        <v>5.3999999999999999E-2</v>
      </c>
      <c r="E32" s="96">
        <v>9.6639999999999997</v>
      </c>
      <c r="F32" s="96">
        <v>3.2719999999999998</v>
      </c>
      <c r="G32" s="96">
        <v>-17.922999999999998</v>
      </c>
      <c r="H32" s="96">
        <v>7.2439999999999998</v>
      </c>
      <c r="I32" s="96">
        <v>1.0980000000000001</v>
      </c>
      <c r="J32" s="96">
        <v>11.67</v>
      </c>
      <c r="K32" s="97">
        <f t="shared" si="17"/>
        <v>12.884490999999999</v>
      </c>
      <c r="L32" s="98">
        <f t="shared" si="18"/>
        <v>3.6060027574504185</v>
      </c>
      <c r="M32" s="98">
        <f t="shared" si="19"/>
        <v>13.022292402006316</v>
      </c>
      <c r="N32" s="98">
        <f t="shared" si="20"/>
        <v>0.52429069943862849</v>
      </c>
      <c r="O32" s="98">
        <f t="shared" si="13"/>
        <v>4.213162188414179</v>
      </c>
      <c r="P32" s="95">
        <v>153</v>
      </c>
      <c r="Q32" s="99" t="s">
        <v>322</v>
      </c>
      <c r="R32" s="99" t="s">
        <v>20</v>
      </c>
      <c r="S32" s="94" t="s">
        <v>321</v>
      </c>
      <c r="T32" s="100"/>
      <c r="U32" s="101">
        <f t="shared" si="5"/>
        <v>54</v>
      </c>
      <c r="V32" s="102">
        <f t="shared" si="6"/>
        <v>0.24115356300011698</v>
      </c>
    </row>
    <row r="33" spans="1:22" x14ac:dyDescent="0.2">
      <c r="A33" s="112">
        <v>5</v>
      </c>
      <c r="B33" s="113" t="s">
        <v>41</v>
      </c>
      <c r="C33" s="114" t="s">
        <v>254</v>
      </c>
      <c r="D33" s="113">
        <v>9.1300000000000006E-2</v>
      </c>
      <c r="E33" s="114">
        <v>10.215</v>
      </c>
      <c r="F33" s="114">
        <v>5.4740000000000002</v>
      </c>
      <c r="G33" s="114">
        <v>-17.5</v>
      </c>
      <c r="H33" s="114">
        <v>11.484</v>
      </c>
      <c r="I33" s="114">
        <v>1.647</v>
      </c>
      <c r="J33" s="114">
        <v>12.869</v>
      </c>
      <c r="K33" s="115">
        <f t="shared" si="17"/>
        <v>14.2601037</v>
      </c>
      <c r="L33" s="116">
        <f t="shared" si="18"/>
        <v>5.9413511507052714</v>
      </c>
      <c r="M33" s="116">
        <f t="shared" si="19"/>
        <v>20.898941110904701</v>
      </c>
      <c r="N33" s="116">
        <f t="shared" si="20"/>
        <v>0.69088150508268853</v>
      </c>
      <c r="O33" s="116">
        <f t="shared" si="13"/>
        <v>4.1037968206655924</v>
      </c>
      <c r="P33" s="113">
        <v>156</v>
      </c>
      <c r="Q33" s="117" t="s">
        <v>322</v>
      </c>
      <c r="R33" s="117" t="s">
        <v>20</v>
      </c>
      <c r="S33" s="117" t="s">
        <v>29</v>
      </c>
      <c r="T33" s="118"/>
      <c r="U33" s="119">
        <f t="shared" si="5"/>
        <v>91.300000000000011</v>
      </c>
      <c r="V33" s="120">
        <f t="shared" si="6"/>
        <v>0.22890406474156297</v>
      </c>
    </row>
    <row r="34" spans="1:22" x14ac:dyDescent="0.2">
      <c r="A34" s="103">
        <v>5</v>
      </c>
      <c r="B34" s="104" t="s">
        <v>43</v>
      </c>
      <c r="C34" s="105" t="s">
        <v>255</v>
      </c>
      <c r="D34" s="104">
        <v>7.2099999999999997E-2</v>
      </c>
      <c r="E34" s="105">
        <v>10.73</v>
      </c>
      <c r="F34" s="105">
        <v>4.1260000000000003</v>
      </c>
      <c r="G34" s="105">
        <v>-17.872</v>
      </c>
      <c r="H34" s="105">
        <v>8.968</v>
      </c>
      <c r="I34" s="105">
        <v>1.347</v>
      </c>
      <c r="J34" s="105">
        <v>12.864000000000001</v>
      </c>
      <c r="K34" s="106">
        <f t="shared" si="17"/>
        <v>14.254367200000001</v>
      </c>
      <c r="L34" s="107">
        <f t="shared" si="18"/>
        <v>4.5117191642804118</v>
      </c>
      <c r="M34" s="107">
        <f t="shared" si="19"/>
        <v>16.224967490247074</v>
      </c>
      <c r="N34" s="107">
        <f t="shared" si="20"/>
        <v>0.59984827795478679</v>
      </c>
      <c r="O34" s="107">
        <f t="shared" si="13"/>
        <v>4.1955467637446917</v>
      </c>
      <c r="P34" s="104">
        <v>159</v>
      </c>
      <c r="Q34" s="108" t="s">
        <v>322</v>
      </c>
      <c r="R34" s="108" t="s">
        <v>20</v>
      </c>
      <c r="S34" s="108" t="s">
        <v>21</v>
      </c>
      <c r="T34" s="109"/>
      <c r="U34" s="110">
        <f t="shared" si="5"/>
        <v>72.099999999999994</v>
      </c>
      <c r="V34" s="111">
        <f t="shared" si="6"/>
        <v>0.22503422316570146</v>
      </c>
    </row>
    <row r="35" spans="1:22" x14ac:dyDescent="0.2">
      <c r="A35" s="5">
        <v>5</v>
      </c>
      <c r="B35" s="8" t="s">
        <v>126</v>
      </c>
      <c r="C35" s="7" t="s">
        <v>256</v>
      </c>
      <c r="D35" s="8">
        <v>8.0699999999999994E-2</v>
      </c>
      <c r="E35" s="7">
        <v>8.5779999999999994</v>
      </c>
      <c r="F35" s="7">
        <v>4.048</v>
      </c>
      <c r="G35" s="7">
        <v>-16.818000000000001</v>
      </c>
      <c r="H35" s="7">
        <v>15.010999999999999</v>
      </c>
      <c r="I35" s="7">
        <v>1.341</v>
      </c>
      <c r="J35" s="7">
        <v>4.9320000000000004</v>
      </c>
      <c r="K35" s="10">
        <f t="shared" si="17"/>
        <v>5.1539836000000001</v>
      </c>
      <c r="L35" s="11">
        <f t="shared" si="18"/>
        <v>4.4289956517128006</v>
      </c>
      <c r="M35" s="11">
        <f t="shared" si="19"/>
        <v>27.451049600594462</v>
      </c>
      <c r="N35" s="11">
        <f t="shared" si="20"/>
        <v>0.59802761341222876</v>
      </c>
      <c r="O35" s="11">
        <f t="shared" si="13"/>
        <v>7.2310354429093984</v>
      </c>
      <c r="P35" s="8">
        <v>150</v>
      </c>
      <c r="Q35" s="22" t="s">
        <v>77</v>
      </c>
      <c r="R35" s="22" t="s">
        <v>20</v>
      </c>
      <c r="S35" s="22" t="s">
        <v>95</v>
      </c>
      <c r="U35" s="43">
        <f t="shared" si="5"/>
        <v>80.699999999999989</v>
      </c>
      <c r="V35" s="42">
        <f t="shared" si="6"/>
        <v>0.3401617050879116</v>
      </c>
    </row>
    <row r="36" spans="1:22" x14ac:dyDescent="0.2">
      <c r="A36" s="103">
        <v>5</v>
      </c>
      <c r="B36" s="104" t="s">
        <v>128</v>
      </c>
      <c r="C36" s="105" t="s">
        <v>257</v>
      </c>
      <c r="D36" s="104">
        <v>0.1075</v>
      </c>
      <c r="E36" s="105">
        <v>8.2210000000000001</v>
      </c>
      <c r="F36" s="105">
        <v>7.4050000000000002</v>
      </c>
      <c r="G36" s="105">
        <v>-17.669</v>
      </c>
      <c r="H36" s="105">
        <v>21.065999999999999</v>
      </c>
      <c r="I36" s="105">
        <v>1.8939999999999999</v>
      </c>
      <c r="J36" s="105">
        <v>5.6820000000000004</v>
      </c>
      <c r="K36" s="106">
        <f t="shared" si="17"/>
        <v>6.0144586000000002</v>
      </c>
      <c r="L36" s="107">
        <f t="shared" si="18"/>
        <v>7.9892883656803484</v>
      </c>
      <c r="M36" s="107">
        <f t="shared" si="19"/>
        <v>38.699424112948165</v>
      </c>
      <c r="N36" s="107">
        <f t="shared" si="20"/>
        <v>0.76583219541799419</v>
      </c>
      <c r="O36" s="107">
        <f t="shared" si="13"/>
        <v>5.651232758817569</v>
      </c>
      <c r="P36" s="104">
        <v>146</v>
      </c>
      <c r="Q36" s="108" t="s">
        <v>77</v>
      </c>
      <c r="R36" s="108" t="s">
        <v>20</v>
      </c>
      <c r="S36" s="108" t="s">
        <v>21</v>
      </c>
      <c r="T36" s="109"/>
      <c r="U36" s="110">
        <f t="shared" si="5"/>
        <v>107.5</v>
      </c>
      <c r="V36" s="111">
        <f t="shared" si="6"/>
        <v>0.35999464291114575</v>
      </c>
    </row>
    <row r="37" spans="1:22" x14ac:dyDescent="0.2">
      <c r="A37" s="94">
        <v>5</v>
      </c>
      <c r="B37" s="95" t="s">
        <v>130</v>
      </c>
      <c r="C37" s="96" t="s">
        <v>258</v>
      </c>
      <c r="D37" s="95">
        <v>9.01E-2</v>
      </c>
      <c r="E37" s="96">
        <v>8.6489999999999991</v>
      </c>
      <c r="F37" s="96">
        <v>3.165</v>
      </c>
      <c r="G37" s="96">
        <v>-20.106000000000002</v>
      </c>
      <c r="H37" s="96">
        <v>8.7799999999999994</v>
      </c>
      <c r="I37" s="96">
        <v>0.85599999999999998</v>
      </c>
      <c r="J37" s="96">
        <v>13.834</v>
      </c>
      <c r="K37" s="97">
        <f t="shared" si="17"/>
        <v>15.367248199999999</v>
      </c>
      <c r="L37" s="98">
        <f t="shared" si="18"/>
        <v>3.4925230671333121</v>
      </c>
      <c r="M37" s="98">
        <f t="shared" si="19"/>
        <v>15.875719858814787</v>
      </c>
      <c r="N37" s="98">
        <f t="shared" si="20"/>
        <v>0.45085722955545438</v>
      </c>
      <c r="O37" s="98">
        <f t="shared" si="13"/>
        <v>5.3032357446446232</v>
      </c>
      <c r="P37" s="95">
        <v>167</v>
      </c>
      <c r="Q37" s="99" t="s">
        <v>169</v>
      </c>
      <c r="R37" s="99" t="s">
        <v>20</v>
      </c>
      <c r="S37" s="94" t="s">
        <v>321</v>
      </c>
      <c r="T37" s="100"/>
      <c r="U37" s="101">
        <f t="shared" si="5"/>
        <v>90.1</v>
      </c>
      <c r="V37" s="102">
        <f t="shared" si="6"/>
        <v>0.17620110831092994</v>
      </c>
    </row>
    <row r="38" spans="1:22" x14ac:dyDescent="0.2">
      <c r="A38" s="5">
        <v>5</v>
      </c>
      <c r="B38" s="8" t="s">
        <v>196</v>
      </c>
      <c r="C38" s="7" t="s">
        <v>260</v>
      </c>
      <c r="D38" s="8">
        <v>6.3399999999999998E-2</v>
      </c>
      <c r="E38" s="7">
        <v>8.6519999999999992</v>
      </c>
      <c r="F38" s="7">
        <v>4.452</v>
      </c>
      <c r="G38" s="7">
        <v>-21.491</v>
      </c>
      <c r="H38" s="7">
        <v>12.827999999999999</v>
      </c>
      <c r="I38" s="7">
        <v>3.2959999999999998</v>
      </c>
      <c r="J38" s="7">
        <v>16.109000000000002</v>
      </c>
      <c r="K38" s="10">
        <f t="shared" si="17"/>
        <v>17.9773557</v>
      </c>
      <c r="L38" s="11">
        <f t="shared" si="18"/>
        <v>4.8574610244988863</v>
      </c>
      <c r="M38" s="11">
        <f t="shared" si="19"/>
        <v>23.39569013561211</v>
      </c>
      <c r="N38" s="11">
        <f t="shared" si="20"/>
        <v>1.1912608101957214</v>
      </c>
      <c r="O38" s="11">
        <f t="shared" si="13"/>
        <v>5.619184937813607</v>
      </c>
      <c r="P38" s="8">
        <v>42</v>
      </c>
      <c r="Q38" s="22" t="s">
        <v>93</v>
      </c>
      <c r="R38" s="22" t="s">
        <v>94</v>
      </c>
      <c r="S38" s="22" t="s">
        <v>95</v>
      </c>
      <c r="U38" s="43">
        <f t="shared" si="5"/>
        <v>63.4</v>
      </c>
      <c r="V38" s="42">
        <f t="shared" si="6"/>
        <v>0.36901719456801435</v>
      </c>
    </row>
    <row r="39" spans="1:22" x14ac:dyDescent="0.2">
      <c r="A39" s="5">
        <v>5</v>
      </c>
      <c r="B39" s="8" t="s">
        <v>198</v>
      </c>
      <c r="C39" s="7" t="s">
        <v>261</v>
      </c>
      <c r="D39" s="8">
        <v>2.4500000000000001E-2</v>
      </c>
      <c r="E39" s="24">
        <v>8.2509999999999994</v>
      </c>
      <c r="F39" s="24">
        <v>1.786</v>
      </c>
      <c r="G39" s="24">
        <v>-21.439</v>
      </c>
      <c r="H39" s="24">
        <v>4.7839999999999998</v>
      </c>
      <c r="I39" s="24">
        <v>0.94</v>
      </c>
      <c r="J39" s="24">
        <v>13.45</v>
      </c>
      <c r="K39" s="10">
        <f t="shared" si="17"/>
        <v>14.926684999999999</v>
      </c>
      <c r="L39" s="35">
        <f t="shared" si="18"/>
        <v>2.0300137872520945</v>
      </c>
      <c r="M39" s="35">
        <f t="shared" si="19"/>
        <v>8.4523499907114985</v>
      </c>
      <c r="N39" s="35">
        <f t="shared" si="20"/>
        <v>0.47634653315126685</v>
      </c>
      <c r="O39" s="35">
        <f t="shared" si="13"/>
        <v>4.8576394165833472</v>
      </c>
      <c r="P39" s="8">
        <v>43</v>
      </c>
      <c r="Q39" s="22" t="s">
        <v>93</v>
      </c>
      <c r="R39" s="22" t="s">
        <v>94</v>
      </c>
      <c r="S39" s="22" t="s">
        <v>95</v>
      </c>
      <c r="U39" s="43">
        <f t="shared" si="5"/>
        <v>24.5</v>
      </c>
      <c r="V39" s="42">
        <f t="shared" si="6"/>
        <v>0.34499387717189789</v>
      </c>
    </row>
    <row r="40" spans="1:22" x14ac:dyDescent="0.2">
      <c r="A40" s="5">
        <v>5</v>
      </c>
      <c r="B40" s="8" t="s">
        <v>264</v>
      </c>
      <c r="C40" s="7" t="s">
        <v>265</v>
      </c>
      <c r="D40" s="8">
        <v>9.9000000000000005E-2</v>
      </c>
      <c r="E40" s="7">
        <v>8.5920000000000005</v>
      </c>
      <c r="F40" s="7">
        <v>4.2460000000000004</v>
      </c>
      <c r="G40" s="7">
        <v>-17.863</v>
      </c>
      <c r="H40" s="7">
        <v>12.637</v>
      </c>
      <c r="I40" s="7">
        <v>1.5149999999999999</v>
      </c>
      <c r="J40" s="7">
        <v>14.785</v>
      </c>
      <c r="K40" s="10">
        <f t="shared" si="17"/>
        <v>16.458330499999999</v>
      </c>
      <c r="L40" s="11">
        <f t="shared" si="18"/>
        <v>4.638986106692121</v>
      </c>
      <c r="M40" s="11">
        <f t="shared" si="19"/>
        <v>23.040869403678247</v>
      </c>
      <c r="N40" s="11">
        <f t="shared" si="20"/>
        <v>0.65082688514641174</v>
      </c>
      <c r="O40" s="11">
        <f t="shared" si="13"/>
        <v>5.7945882324401019</v>
      </c>
      <c r="P40" s="8">
        <v>60</v>
      </c>
      <c r="Q40" s="22" t="s">
        <v>98</v>
      </c>
      <c r="R40" s="22" t="s">
        <v>94</v>
      </c>
      <c r="S40" s="22" t="s">
        <v>95</v>
      </c>
      <c r="U40" s="43">
        <f t="shared" si="5"/>
        <v>99</v>
      </c>
      <c r="V40" s="42">
        <f t="shared" si="6"/>
        <v>0.23273605458260857</v>
      </c>
    </row>
    <row r="41" spans="1:22" x14ac:dyDescent="0.2">
      <c r="A41" s="112">
        <v>5</v>
      </c>
      <c r="B41" s="113" t="s">
        <v>276</v>
      </c>
      <c r="C41" s="114" t="s">
        <v>277</v>
      </c>
      <c r="D41" s="113">
        <v>9.1499999999999998E-2</v>
      </c>
      <c r="E41" s="114">
        <v>8.391</v>
      </c>
      <c r="F41" s="114">
        <v>5.8810000000000002</v>
      </c>
      <c r="G41" s="114">
        <v>-18.774999999999999</v>
      </c>
      <c r="H41" s="114">
        <v>18.420999999999999</v>
      </c>
      <c r="I41" s="114">
        <v>1.792</v>
      </c>
      <c r="J41" s="114">
        <v>5.8460000000000001</v>
      </c>
      <c r="K41" s="115">
        <f t="shared" si="17"/>
        <v>6.2026158000000002</v>
      </c>
      <c r="L41" s="116">
        <f t="shared" si="18"/>
        <v>6.3729981970516496</v>
      </c>
      <c r="M41" s="116">
        <f t="shared" si="19"/>
        <v>33.785807170722642</v>
      </c>
      <c r="N41" s="116">
        <f t="shared" si="20"/>
        <v>0.73488089819450775</v>
      </c>
      <c r="O41" s="116">
        <f t="shared" si="13"/>
        <v>6.1849656651001705</v>
      </c>
      <c r="P41" s="113">
        <v>145</v>
      </c>
      <c r="Q41" s="117" t="s">
        <v>77</v>
      </c>
      <c r="R41" s="117" t="s">
        <v>20</v>
      </c>
      <c r="S41" s="117" t="s">
        <v>29</v>
      </c>
      <c r="T41" s="118"/>
      <c r="U41" s="119">
        <f t="shared" si="5"/>
        <v>91.5</v>
      </c>
      <c r="V41" s="120">
        <f t="shared" si="6"/>
        <v>0.36924379421554798</v>
      </c>
    </row>
    <row r="42" spans="1:22" x14ac:dyDescent="0.2">
      <c r="A42" s="103">
        <v>5</v>
      </c>
      <c r="B42" s="104" t="s">
        <v>278</v>
      </c>
      <c r="C42" s="105" t="s">
        <v>279</v>
      </c>
      <c r="D42" s="104">
        <v>9.6799999999999997E-2</v>
      </c>
      <c r="E42" s="105">
        <v>8.1839999999999993</v>
      </c>
      <c r="F42" s="105">
        <v>5.5780000000000003</v>
      </c>
      <c r="G42" s="105">
        <v>-18.158999999999999</v>
      </c>
      <c r="H42" s="105">
        <v>20.72</v>
      </c>
      <c r="I42" s="105">
        <v>1.7869999999999999</v>
      </c>
      <c r="J42" s="105">
        <v>6.0090000000000003</v>
      </c>
      <c r="K42" s="106">
        <f t="shared" si="17"/>
        <v>6.3896256999999999</v>
      </c>
      <c r="L42" s="107">
        <f t="shared" si="18"/>
        <v>6.0516491674620854</v>
      </c>
      <c r="M42" s="107">
        <f t="shared" si="19"/>
        <v>38.056659855099383</v>
      </c>
      <c r="N42" s="107">
        <f t="shared" si="20"/>
        <v>0.73336367774237587</v>
      </c>
      <c r="O42" s="107">
        <f t="shared" si="13"/>
        <v>7.3367499121294886</v>
      </c>
      <c r="P42" s="104">
        <v>149</v>
      </c>
      <c r="Q42" s="108" t="s">
        <v>77</v>
      </c>
      <c r="R42" s="108" t="s">
        <v>20</v>
      </c>
      <c r="S42" s="108" t="s">
        <v>21</v>
      </c>
      <c r="T42" s="109"/>
      <c r="U42" s="110">
        <f t="shared" si="5"/>
        <v>96.8</v>
      </c>
      <c r="V42" s="111">
        <f t="shared" si="6"/>
        <v>0.3931473125526796</v>
      </c>
    </row>
    <row r="43" spans="1:22" x14ac:dyDescent="0.2">
      <c r="A43" s="94">
        <v>5</v>
      </c>
      <c r="B43" s="95" t="s">
        <v>280</v>
      </c>
      <c r="C43" s="96" t="s">
        <v>281</v>
      </c>
      <c r="D43" s="95">
        <v>4.2700000000000002E-2</v>
      </c>
      <c r="E43" s="96">
        <v>10.847</v>
      </c>
      <c r="F43" s="96">
        <v>3.556</v>
      </c>
      <c r="G43" s="96">
        <v>-17.524999999999999</v>
      </c>
      <c r="H43" s="96">
        <v>8.1809999999999992</v>
      </c>
      <c r="I43" s="96">
        <v>1.085</v>
      </c>
      <c r="J43" s="96">
        <v>12.462</v>
      </c>
      <c r="K43" s="97">
        <f t="shared" si="17"/>
        <v>13.793152599999999</v>
      </c>
      <c r="L43" s="98">
        <f t="shared" si="18"/>
        <v>3.9072011878247959</v>
      </c>
      <c r="M43" s="98">
        <f t="shared" si="19"/>
        <v>14.76295745866617</v>
      </c>
      <c r="N43" s="98">
        <f t="shared" si="20"/>
        <v>0.52034592626308596</v>
      </c>
      <c r="O43" s="98">
        <f t="shared" si="13"/>
        <v>4.4081298966927394</v>
      </c>
      <c r="P43" s="95">
        <v>172</v>
      </c>
      <c r="Q43" s="99" t="s">
        <v>171</v>
      </c>
      <c r="R43" s="99" t="s">
        <v>20</v>
      </c>
      <c r="S43" s="94" t="s">
        <v>321</v>
      </c>
      <c r="T43" s="100"/>
      <c r="U43" s="101">
        <f t="shared" si="5"/>
        <v>42.7</v>
      </c>
      <c r="V43" s="102">
        <f t="shared" si="6"/>
        <v>0.34573670863386813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step1</vt:lpstr>
      <vt:lpstr>IS</vt:lpstr>
      <vt:lpstr>GS</vt:lpstr>
      <vt:lpstr>LL</vt:lpstr>
      <vt:lpstr>consumers_clean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Ito, Maysa</dc:creator>
  <cp:lastModifiedBy>Anna Waffender</cp:lastModifiedBy>
  <dcterms:created xsi:type="dcterms:W3CDTF">2024-07-26T12:07:11Z</dcterms:created>
  <dcterms:modified xsi:type="dcterms:W3CDTF">2026-08-04T14:14:45Z</dcterms:modified>
</cp:coreProperties>
</file>